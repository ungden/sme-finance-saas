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 Econs_Standard" sheetId="1" r:id="rId5"/>
    <sheet state="visible" name="Monthly Ramp Up" sheetId="2" r:id="rId6"/>
  </sheets>
  <definedNames>
    <definedName name="ExRat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tc={578188ff-6582-4fa8-90c7-608ffc3b8d4d}</author>
  </authors>
  <commentList>
    <comment authorId="0" xr:uid="{578188ff-6582-4fa8-90c7-608ffc3b8d4d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Bar: 18sqm
- BOH: 12sqm
- WC: 10sqm
</t>
      </text>
    </comment>
  </commentList>
</comments>
</file>

<file path=xl/sharedStrings.xml><?xml version="1.0" encoding="utf-8"?>
<sst xmlns="http://schemas.openxmlformats.org/spreadsheetml/2006/main" count="122" uniqueCount="84">
  <si>
    <t>Exchange rate</t>
  </si>
  <si>
    <t>Standard</t>
  </si>
  <si>
    <t>TC</t>
  </si>
  <si>
    <t>Group size/dine in TC</t>
  </si>
  <si>
    <t>% Dine in</t>
  </si>
  <si>
    <t>AC (inc VAT)</t>
  </si>
  <si>
    <t>Spend per person</t>
  </si>
  <si>
    <t>% Take away</t>
  </si>
  <si>
    <t>ADS</t>
  </si>
  <si>
    <t>Dine-in guest count</t>
  </si>
  <si>
    <t>Revenue (excl VAT)</t>
  </si>
  <si>
    <t>Total Capacity</t>
  </si>
  <si>
    <t>COGS</t>
  </si>
  <si>
    <t>Size (m2)</t>
  </si>
  <si>
    <t>Rent/sqm</t>
  </si>
  <si>
    <t>Rent</t>
  </si>
  <si>
    <t>Gross profit</t>
  </si>
  <si>
    <t>BOH</t>
  </si>
  <si>
    <t>FOH Gross Space</t>
  </si>
  <si>
    <t>Labor</t>
  </si>
  <si>
    <t>FOH Dead Space</t>
  </si>
  <si>
    <t>Seating area dead space. EG, under stairs, next to pillar</t>
  </si>
  <si>
    <t>FOH Net Space</t>
  </si>
  <si>
    <t>sqm/pax</t>
  </si>
  <si>
    <t>Seats</t>
  </si>
  <si>
    <t>Utilities</t>
  </si>
  <si>
    <t>Other Opex</t>
  </si>
  <si>
    <t>Total Utilized Capacity</t>
  </si>
  <si>
    <t>Marketing</t>
  </si>
  <si>
    <t>Daypart</t>
  </si>
  <si>
    <t>Peak time</t>
  </si>
  <si>
    <t>Guest Count</t>
  </si>
  <si>
    <t>Turns</t>
  </si>
  <si>
    <t>Maintainance</t>
  </si>
  <si>
    <t>Morning (7 to 11)</t>
  </si>
  <si>
    <t>Reinvestment</t>
  </si>
  <si>
    <t>Lunch (11:14)</t>
  </si>
  <si>
    <t>Depreciation</t>
  </si>
  <si>
    <t>Tea Time (14:17)</t>
  </si>
  <si>
    <t>EBITDA</t>
  </si>
  <si>
    <t>Dinner (17:22)</t>
  </si>
  <si>
    <t>SM/ASM</t>
  </si>
  <si>
    <t>Cashier</t>
  </si>
  <si>
    <t>Service</t>
  </si>
  <si>
    <t>Bar</t>
  </si>
  <si>
    <t>Security</t>
  </si>
  <si>
    <t>GM</t>
  </si>
  <si>
    <t>Per shift</t>
  </si>
  <si>
    <t>Total Labor Required</t>
  </si>
  <si>
    <t>Salary (SIHI included)</t>
  </si>
  <si>
    <t>Utilities(water, electricity, gas, etc)</t>
  </si>
  <si>
    <t>Monthly Labor</t>
  </si>
  <si>
    <t>Others OPEX</t>
  </si>
  <si>
    <t>Capex</t>
  </si>
  <si>
    <t>Investment/sqm</t>
  </si>
  <si>
    <t>Pre-opening</t>
  </si>
  <si>
    <t>Equipment</t>
  </si>
  <si>
    <t>Rent deposit</t>
  </si>
  <si>
    <t>Total CAPEX</t>
  </si>
  <si>
    <t>Total Cash needed</t>
  </si>
  <si>
    <t>NOI</t>
  </si>
  <si>
    <t xml:space="preserve">Payback </t>
  </si>
  <si>
    <t>Break-even Revenue</t>
  </si>
  <si>
    <t>Break-even ADTC</t>
  </si>
  <si>
    <t>Month -5</t>
  </si>
  <si>
    <t>Month -4</t>
  </si>
  <si>
    <t>Month -3</t>
  </si>
  <si>
    <t>Month -2</t>
  </si>
  <si>
    <t>Month -1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</si>
  <si>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</si>
  <si>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</si>
  <si>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</si>
  <si>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</si>
  <si>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</si>
  <si>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</si>
  <si>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</si>
  <si>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</si>
  <si>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</si>
  <si>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</si>
  <si>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</si>
  <si>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Month 12</t>
  </si>
  <si>
    <t>Year 1</t>
  </si>
  <si>
    <t>AC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</si>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</sst>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_(* #,##0.0_);_(* \(#,##0.0\);_(* &quot;-&quot;??_);_(@_)"/>
    <numFmt numFmtId="166" formatCode="_(* #,##0.00_);_(* \(#,##0.00\);_(* &quot;-&quot;??_);_(@_)"/>
    <numFmt numFmtId="167" formatCode="&quot;$&quot;#,##0_);[Red]\(&quot;$&quot;#,##0\)"/>
    <numFmt numFmtId="168" formatCode="0.0"/>
    <numFmt numFmtId="169" formatCode="0%\ &quot;for year 1&quot;"/>
    <numFmt numFmtId="170" formatCode="0#.##\ &quot;Years&quot;"/>
    <numFmt numFmtId="171" formatCode="_(&quot;$&quot;* #,##0_);_(&quot;$&quot;* \(#,##0\);_(&quot;$&quot;* &quot;-&quot;??_);_(@_)"/>
  </numFmts>
  <fonts count="17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i/>
      <u/>
      <sz val="10.0"/>
      <color theme="0"/>
      <name val="Arial"/>
    </font>
    <font/>
    <font>
      <b/>
      <i/>
      <u/>
      <sz val="10.0"/>
      <color rgb="FF000000"/>
      <name val="Arial"/>
    </font>
    <font>
      <b/>
      <i/>
      <sz val="10.0"/>
      <color rgb="FF000000"/>
      <name val="Arial"/>
    </font>
    <font>
      <sz val="10.0"/>
      <color rgb="FFFF0000"/>
      <name val="Arial"/>
    </font>
    <font>
      <sz val="10.0"/>
      <color rgb="FF3F3F76"/>
      <name val="Arial"/>
    </font>
    <font>
      <b/>
      <sz val="10.0"/>
      <color rgb="FF000000"/>
      <name val="Arial"/>
    </font>
    <font>
      <b/>
      <sz val="10.0"/>
      <color rgb="FFC00000"/>
      <name val="Arial"/>
    </font>
    <font>
      <i/>
      <sz val="10.0"/>
      <color rgb="FF000000"/>
      <name val="Arial"/>
    </font>
    <font>
      <b/>
      <i/>
      <sz val="10.0"/>
      <color rgb="FFFF0000"/>
      <name val="Arial"/>
    </font>
    <font>
      <b/>
      <i/>
      <sz val="10.0"/>
      <color theme="1"/>
      <name val="Arial"/>
    </font>
    <font>
      <b/>
      <sz val="11.0"/>
      <color theme="1"/>
      <name val="Calibri"/>
      <scheme val="minor"/>
    </font>
    <font>
      <b/>
      <u/>
      <sz val="11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53734"/>
        <bgColor rgb="FF953734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</border>
    <border>
      <left style="medium">
        <color rgb="FF000000"/>
      </left>
      <top style="medium">
        <color rgb="FF000000"/>
      </top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1" numFmtId="164" xfId="0" applyAlignment="1" applyBorder="1" applyFont="1" applyNumberFormat="1">
      <alignment vertical="center"/>
    </xf>
    <xf borderId="0" fillId="0" fontId="3" numFmtId="0" xfId="0" applyAlignment="1" applyFont="1">
      <alignment horizontal="left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0" fillId="0" fontId="6" numFmtId="0" xfId="0" applyAlignment="1" applyFont="1">
      <alignment horizontal="righ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6" fillId="3" fontId="8" numFmtId="164" xfId="0" applyAlignment="1" applyBorder="1" applyFill="1" applyFont="1" applyNumberForma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8" fillId="3" fontId="9" numFmtId="165" xfId="0" applyAlignment="1" applyBorder="1" applyFont="1" applyNumberFormat="1">
      <alignment horizontal="left" shrinkToFit="0" vertical="center" wrapText="1"/>
    </xf>
    <xf borderId="9" fillId="0" fontId="1" numFmtId="0" xfId="0" applyAlignment="1" applyBorder="1" applyFont="1">
      <alignment vertical="center"/>
    </xf>
    <xf borderId="9" fillId="0" fontId="3" numFmtId="0" xfId="0" applyAlignment="1" applyBorder="1" applyFont="1">
      <alignment horizontal="left" shrinkToFit="0" vertical="center" wrapText="1"/>
    </xf>
    <xf borderId="8" fillId="3" fontId="8" numFmtId="9" xfId="0" applyAlignment="1" applyBorder="1" applyFont="1" applyNumberFormat="1">
      <alignment horizontal="right" shrinkToFit="0" vertical="center" wrapText="1"/>
    </xf>
    <xf borderId="10" fillId="0" fontId="3" numFmtId="166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1" fillId="0" fontId="7" numFmtId="0" xfId="0" applyAlignment="1" applyBorder="1" applyFont="1">
      <alignment horizontal="left" shrinkToFit="0" vertical="center" wrapText="1"/>
    </xf>
    <xf borderId="12" fillId="3" fontId="8" numFmtId="164" xfId="0" applyAlignment="1" applyBorder="1" applyFont="1" applyNumberFormat="1">
      <alignment horizontal="left" shrinkToFit="0" vertical="center" wrapText="1"/>
    </xf>
    <xf borderId="13" fillId="0" fontId="3" numFmtId="0" xfId="0" applyAlignment="1" applyBorder="1" applyFont="1">
      <alignment horizontal="left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8" numFmtId="9" xfId="0" applyAlignment="1" applyFont="1" applyNumberFormat="1">
      <alignment horizontal="right" shrinkToFit="0" vertical="center" wrapText="1"/>
    </xf>
    <xf borderId="14" fillId="0" fontId="1" numFmtId="166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5" fillId="0" fontId="7" numFmtId="0" xfId="0" applyAlignment="1" applyBorder="1" applyFont="1">
      <alignment horizontal="left" shrinkToFit="0" vertical="center" wrapText="1"/>
    </xf>
    <xf borderId="16" fillId="0" fontId="3" numFmtId="164" xfId="0" applyAlignment="1" applyBorder="1" applyFont="1" applyNumberFormat="1">
      <alignment horizontal="left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18" fillId="0" fontId="11" numFmtId="164" xfId="0" applyAlignment="1" applyBorder="1" applyFont="1" applyNumberFormat="1">
      <alignment horizontal="center" shrinkToFit="0" vertical="center" wrapText="1"/>
    </xf>
    <xf borderId="18" fillId="0" fontId="11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left" shrinkToFit="0" vertical="center" wrapText="1"/>
    </xf>
    <xf borderId="19" fillId="0" fontId="3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20" fillId="4" fontId="10" numFmtId="164" xfId="0" applyAlignment="1" applyBorder="1" applyFill="1" applyFont="1" applyNumberFormat="1">
      <alignment horizontal="left" shrinkToFit="0" vertical="center" wrapText="1"/>
    </xf>
    <xf borderId="7" fillId="0" fontId="10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left" shrinkToFit="0" vertical="center" wrapText="1"/>
    </xf>
    <xf borderId="21" fillId="0" fontId="3" numFmtId="164" xfId="0" applyAlignment="1" applyBorder="1" applyFont="1" applyNumberFormat="1">
      <alignment horizontal="left" shrinkToFit="0" vertical="center" wrapText="1"/>
    </xf>
    <xf borderId="22" fillId="3" fontId="8" numFmtId="1" xfId="0" applyAlignment="1" applyBorder="1" applyFont="1" applyNumberFormat="1">
      <alignment horizontal="center" readingOrder="0" shrinkToFit="0" vertical="center" wrapText="1"/>
    </xf>
    <xf borderId="22" fillId="3" fontId="8" numFmtId="167" xfId="0" applyAlignment="1" applyBorder="1" applyFont="1" applyNumberFormat="1">
      <alignment horizontal="center" shrinkToFit="0" vertical="center" wrapText="1"/>
    </xf>
    <xf borderId="14" fillId="0" fontId="10" numFmtId="3" xfId="0" applyAlignment="1" applyBorder="1" applyFont="1" applyNumberFormat="1">
      <alignment horizontal="center" shrinkToFit="0" vertical="center" wrapText="1"/>
    </xf>
    <xf borderId="22" fillId="3" fontId="8" numFmtId="1" xfId="0" applyAlignment="1" applyBorder="1" applyFont="1" applyNumberForma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13" fillId="0" fontId="1" numFmtId="0" xfId="0" applyAlignment="1" applyBorder="1" applyFont="1">
      <alignment vertical="center"/>
    </xf>
    <xf borderId="22" fillId="3" fontId="9" numFmtId="9" xfId="0" applyAlignment="1" applyBorder="1" applyFont="1" applyNumberFormat="1">
      <alignment horizontal="center" shrinkToFit="0" vertical="center" wrapText="1"/>
    </xf>
    <xf borderId="14" fillId="0" fontId="5" numFmtId="0" xfId="0" applyBorder="1" applyFont="1"/>
    <xf borderId="17" fillId="0" fontId="10" numFmtId="0" xfId="0" applyAlignment="1" applyBorder="1" applyFont="1">
      <alignment horizontal="left" shrinkToFit="0" vertical="center" wrapText="1"/>
    </xf>
    <xf borderId="18" fillId="0" fontId="10" numFmtId="3" xfId="0" applyAlignment="1" applyBorder="1" applyFont="1" applyNumberForma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23" fillId="3" fontId="9" numFmtId="168" xfId="0" applyAlignment="1" applyBorder="1" applyFont="1" applyNumberForma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19" fillId="0" fontId="3" numFmtId="1" xfId="0" applyAlignment="1" applyBorder="1" applyFont="1" applyNumberFormat="1">
      <alignment horizontal="center" shrinkToFit="0" vertical="center" wrapText="1"/>
    </xf>
    <xf borderId="24" fillId="0" fontId="1" numFmtId="0" xfId="0" applyAlignment="1" applyBorder="1" applyFont="1">
      <alignment vertical="center"/>
    </xf>
    <xf borderId="25" fillId="3" fontId="9" numFmtId="9" xfId="0" applyAlignment="1" applyBorder="1" applyFont="1" applyNumberFormat="1">
      <alignment horizontal="center" readingOrder="0" shrinkToFit="0" vertical="center" wrapText="1"/>
    </xf>
    <xf borderId="26" fillId="0" fontId="1" numFmtId="0" xfId="0" applyAlignment="1" applyBorder="1" applyFont="1">
      <alignment vertical="center"/>
    </xf>
    <xf borderId="27" fillId="0" fontId="1" numFmtId="0" xfId="0" applyAlignment="1" applyBorder="1" applyFont="1">
      <alignment vertical="center"/>
    </xf>
    <xf borderId="28" fillId="0" fontId="10" numFmtId="0" xfId="0" applyAlignment="1" applyBorder="1" applyFont="1">
      <alignment horizontal="left" shrinkToFit="0" vertical="center" wrapText="1"/>
    </xf>
    <xf borderId="29" fillId="0" fontId="10" numFmtId="0" xfId="0" applyAlignment="1" applyBorder="1" applyFont="1">
      <alignment horizontal="center" shrinkToFit="0" vertical="center" wrapText="1"/>
    </xf>
    <xf borderId="30" fillId="0" fontId="10" numFmtId="0" xfId="0" applyAlignment="1" applyBorder="1" applyFont="1">
      <alignment horizontal="center" shrinkToFit="0" vertical="center" wrapText="1"/>
    </xf>
    <xf borderId="22" fillId="3" fontId="8" numFmtId="9" xfId="0" applyAlignment="1" applyBorder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22" fillId="3" fontId="9" numFmtId="168" xfId="0" applyAlignment="1" applyBorder="1" applyFont="1" applyNumberFormat="1">
      <alignment horizontal="center" shrinkToFit="0" vertical="center" wrapText="1"/>
    </xf>
    <xf borderId="14" fillId="0" fontId="3" numFmtId="1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0" numFmtId="164" xfId="0" applyAlignment="1" applyFont="1" applyNumberFormat="1">
      <alignment horizontal="left" shrinkToFit="0" vertical="center" wrapText="1"/>
    </xf>
    <xf borderId="17" fillId="0" fontId="1" numFmtId="0" xfId="0" applyAlignment="1" applyBorder="1" applyFont="1">
      <alignment vertical="center"/>
    </xf>
    <xf borderId="23" fillId="3" fontId="8" numFmtId="9" xfId="0" applyAlignment="1" applyBorder="1" applyFont="1" applyNumberFormat="1">
      <alignment horizontal="center" shrinkToFit="0" vertical="center" wrapText="1"/>
    </xf>
    <xf borderId="18" fillId="0" fontId="3" numFmtId="1" xfId="0" applyAlignment="1" applyBorder="1" applyFont="1" applyNumberFormat="1">
      <alignment horizontal="center" shrinkToFit="0" vertical="center" wrapText="1"/>
    </xf>
    <xf borderId="0" fillId="0" fontId="10" numFmtId="166" xfId="0" applyAlignment="1" applyFont="1" applyNumberForma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" numFmtId="9" xfId="0" applyAlignment="1" applyFont="1" applyNumberFormat="1">
      <alignment vertical="center"/>
    </xf>
    <xf borderId="22" fillId="3" fontId="9" numFmtId="9" xfId="0" applyAlignment="1" applyBorder="1" applyFont="1" applyNumberFormat="1">
      <alignment horizontal="right" shrinkToFit="0" vertical="center" wrapText="1"/>
    </xf>
    <xf borderId="0" fillId="0" fontId="3" numFmtId="9" xfId="0" applyAlignment="1" applyFont="1" applyNumberFormat="1">
      <alignment horizontal="right" shrinkToFit="0" vertical="center" wrapText="1"/>
    </xf>
    <xf borderId="7" fillId="0" fontId="10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shrinkToFit="0" vertical="center" wrapText="1"/>
    </xf>
    <xf borderId="22" fillId="3" fontId="8" numFmtId="168" xfId="0" applyAlignment="1" applyBorder="1" applyFont="1" applyNumberFormat="1">
      <alignment horizontal="center" shrinkToFit="0" vertical="center" wrapText="1"/>
    </xf>
    <xf borderId="31" fillId="3" fontId="8" numFmtId="168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3" numFmtId="164" xfId="0" applyAlignment="1" applyBorder="1" applyFont="1" applyNumberFormat="1">
      <alignment horizontal="left" shrinkToFit="0" vertical="center" wrapText="1"/>
    </xf>
    <xf borderId="18" fillId="0" fontId="10" numFmtId="164" xfId="0" applyAlignment="1" applyBorder="1" applyFont="1" applyNumberFormat="1">
      <alignment horizontal="left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3" xfId="0" applyAlignment="1" applyBorder="1" applyFont="1" applyNumberFormat="1">
      <alignment shrinkToFit="0" vertical="center" wrapText="1"/>
    </xf>
    <xf borderId="19" fillId="0" fontId="3" numFmtId="3" xfId="0" applyAlignment="1" applyBorder="1" applyFont="1" applyNumberFormat="1">
      <alignment shrinkToFit="0" vertical="center" wrapText="1"/>
    </xf>
    <xf borderId="9" fillId="0" fontId="1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0" fillId="0" fontId="3" numFmtId="167" xfId="0" applyAlignment="1" applyFont="1" applyNumberFormat="1">
      <alignment horizontal="right" shrinkToFit="0" vertical="center" wrapText="1"/>
    </xf>
    <xf borderId="0" fillId="0" fontId="1" numFmtId="0" xfId="0" applyAlignment="1" applyFont="1">
      <alignment shrinkToFit="0" vertical="center" wrapText="1"/>
    </xf>
    <xf borderId="14" fillId="0" fontId="8" numFmtId="167" xfId="0" applyAlignment="1" applyBorder="1" applyFont="1" applyNumberFormat="1">
      <alignment horizontal="right" shrinkToFit="0" vertical="center" wrapText="1"/>
    </xf>
    <xf borderId="12" fillId="3" fontId="8" numFmtId="167" xfId="0" applyAlignment="1" applyBorder="1" applyFont="1" applyNumberFormat="1">
      <alignment horizontal="right" shrinkToFit="0" vertical="center" wrapText="1"/>
    </xf>
    <xf borderId="18" fillId="0" fontId="10" numFmtId="167" xfId="0" applyAlignment="1" applyBorder="1" applyFont="1" applyNumberFormat="1">
      <alignment horizontal="right" shrinkToFit="0" vertical="center" wrapText="1"/>
    </xf>
    <xf borderId="18" fillId="0" fontId="10" numFmtId="0" xfId="0" applyAlignment="1" applyBorder="1" applyFont="1">
      <alignment horizontal="left" shrinkToFit="0" vertical="center" wrapText="1"/>
    </xf>
    <xf borderId="32" fillId="4" fontId="10" numFmtId="167" xfId="0" applyAlignment="1" applyBorder="1" applyFont="1" applyNumberFormat="1">
      <alignment horizontal="right" shrinkToFit="0" vertical="center" wrapText="1"/>
    </xf>
    <xf borderId="29" fillId="0" fontId="7" numFmtId="0" xfId="0" applyAlignment="1" applyBorder="1" applyFont="1">
      <alignment horizontal="left" shrinkToFit="0" vertical="center" wrapText="1"/>
    </xf>
    <xf borderId="33" fillId="4" fontId="10" numFmtId="9" xfId="0" applyAlignment="1" applyBorder="1" applyFont="1" applyNumberFormat="1">
      <alignment horizontal="right" shrinkToFit="0" vertical="center" wrapText="1"/>
    </xf>
    <xf borderId="0" fillId="0" fontId="10" numFmtId="9" xfId="0" applyAlignment="1" applyFont="1" applyNumberFormat="1">
      <alignment horizontal="right" shrinkToFit="0" vertical="center" wrapText="1"/>
    </xf>
    <xf borderId="18" fillId="0" fontId="2" numFmtId="0" xfId="0" applyAlignment="1" applyBorder="1" applyFont="1">
      <alignment shrinkToFit="0" vertical="center" wrapText="1"/>
    </xf>
    <xf borderId="18" fillId="0" fontId="2" numFmtId="9" xfId="0" applyAlignment="1" applyBorder="1" applyFont="1" applyNumberFormat="1">
      <alignment shrinkToFit="0" vertical="center" wrapText="1"/>
    </xf>
    <xf borderId="34" fillId="0" fontId="10" numFmtId="0" xfId="0" applyAlignment="1" applyBorder="1" applyFont="1">
      <alignment horizontal="left" shrinkToFit="0" vertical="center" wrapText="1"/>
    </xf>
    <xf borderId="34" fillId="0" fontId="10" numFmtId="169" xfId="0" applyAlignment="1" applyBorder="1" applyFont="1" applyNumberFormat="1">
      <alignment horizontal="center" shrinkToFit="0" vertical="center" wrapText="1"/>
    </xf>
    <xf borderId="34" fillId="0" fontId="2" numFmtId="170" xfId="0" applyAlignment="1" applyBorder="1" applyFont="1" applyNumberFormat="1">
      <alignment horizontal="center" shrinkToFit="0" vertical="center" wrapText="1"/>
    </xf>
    <xf borderId="34" fillId="0" fontId="3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7" fillId="0" fontId="2" numFmtId="0" xfId="0" applyBorder="1" applyFont="1"/>
    <xf borderId="10" fillId="0" fontId="1" numFmtId="164" xfId="0" applyBorder="1" applyFont="1" applyNumberFormat="1"/>
    <xf borderId="0" fillId="0" fontId="14" numFmtId="0" xfId="0" applyAlignment="1" applyFont="1">
      <alignment vertical="center"/>
    </xf>
    <xf borderId="0" fillId="0" fontId="1" numFmtId="171" xfId="0" applyAlignment="1" applyFont="1" applyNumberFormat="1">
      <alignment vertical="center"/>
    </xf>
    <xf borderId="17" fillId="0" fontId="2" numFmtId="0" xfId="0" applyBorder="1" applyFont="1"/>
    <xf borderId="19" fillId="0" fontId="1" numFmtId="164" xfId="0" applyBorder="1" applyFont="1" applyNumberFormat="1"/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0" fontId="15" numFmtId="0" xfId="0" applyFont="1"/>
    <xf borderId="35" fillId="5" fontId="15" numFmtId="0" xfId="0" applyAlignment="1" applyBorder="1" applyFill="1" applyFont="1">
      <alignment horizontal="center"/>
    </xf>
    <xf borderId="36" fillId="5" fontId="15" numFmtId="0" xfId="0" applyAlignment="1" applyBorder="1" applyFont="1">
      <alignment horizontal="center"/>
    </xf>
    <xf borderId="37" fillId="5" fontId="15" numFmtId="0" xfId="0" applyAlignment="1" applyBorder="1" applyFont="1">
      <alignment horizontal="center"/>
    </xf>
    <xf borderId="20" fillId="4" fontId="0" numFmtId="9" xfId="0" applyBorder="1" applyFont="1" applyNumberFormat="1"/>
    <xf borderId="38" fillId="0" fontId="0" numFmtId="0" xfId="0" applyBorder="1" applyFont="1"/>
    <xf borderId="39" fillId="5" fontId="16" numFmtId="0" xfId="0" applyBorder="1" applyFont="1"/>
    <xf borderId="38" fillId="0" fontId="3" numFmtId="164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 vertical="center"/>
    </xf>
    <xf borderId="38" fillId="0" fontId="3" numFmtId="164" xfId="0" applyAlignment="1" applyBorder="1" applyFont="1" applyNumberFormat="1">
      <alignment horizontal="left" vertical="center"/>
    </xf>
    <xf borderId="21" fillId="0" fontId="12" numFmtId="0" xfId="0" applyAlignment="1" applyBorder="1" applyFont="1">
      <alignment horizontal="left" vertical="center"/>
    </xf>
    <xf borderId="21" fillId="0" fontId="3" numFmtId="164" xfId="0" applyAlignment="1" applyBorder="1" applyFont="1" applyNumberFormat="1">
      <alignment horizontal="left" vertical="center"/>
    </xf>
    <xf borderId="40" fillId="0" fontId="3" numFmtId="164" xfId="0" applyAlignment="1" applyBorder="1" applyFont="1" applyNumberFormat="1">
      <alignment horizontal="left" vertical="center"/>
    </xf>
    <xf borderId="0" fillId="0" fontId="12" numFmtId="0" xfId="0" applyAlignment="1" applyFont="1">
      <alignment horizontal="left" vertical="center"/>
    </xf>
    <xf borderId="0" fillId="0" fontId="10" numFmtId="164" xfId="0" applyAlignment="1" applyFont="1" applyNumberFormat="1">
      <alignment horizontal="left" vertical="center"/>
    </xf>
    <xf borderId="38" fillId="0" fontId="10" numFmtId="164" xfId="0" applyAlignment="1" applyBorder="1" applyFont="1" applyNumberFormat="1">
      <alignment horizontal="left" vertical="center"/>
    </xf>
    <xf borderId="0" fillId="0" fontId="10" numFmtId="166" xfId="0" applyAlignment="1" applyFont="1" applyNumberFormat="1">
      <alignment horizontal="left" vertical="center"/>
    </xf>
    <xf borderId="0" fillId="0" fontId="3" numFmtId="9" xfId="0" applyAlignment="1" applyFont="1" applyNumberFormat="1">
      <alignment horizontal="right" vertical="center"/>
    </xf>
    <xf borderId="38" fillId="0" fontId="3" numFmtId="9" xfId="0" applyAlignment="1" applyBorder="1" applyFont="1" applyNumberFormat="1">
      <alignment horizontal="right" vertical="center"/>
    </xf>
    <xf borderId="22" fillId="4" fontId="9" numFmtId="9" xfId="0" applyAlignment="1" applyBorder="1" applyFont="1" applyNumberFormat="1">
      <alignment horizontal="right" vertical="center"/>
    </xf>
    <xf borderId="41" fillId="4" fontId="9" numFmtId="9" xfId="0" applyAlignment="1" applyBorder="1" applyFont="1" applyNumberFormat="1">
      <alignment horizontal="right" vertical="center"/>
    </xf>
    <xf borderId="34" fillId="0" fontId="7" numFmtId="0" xfId="0" applyAlignment="1" applyBorder="1" applyFont="1">
      <alignment horizontal="left" vertical="center"/>
    </xf>
    <xf borderId="34" fillId="0" fontId="10" numFmtId="9" xfId="0" applyAlignment="1" applyBorder="1" applyFont="1" applyNumberFormat="1">
      <alignment horizontal="right" vertical="center"/>
    </xf>
    <xf borderId="42" fillId="0" fontId="10" numFmtId="9" xfId="0" applyAlignment="1" applyBorder="1" applyFont="1" applyNumberFormat="1">
      <alignment horizontal="right" vertical="center"/>
    </xf>
    <xf borderId="43" fillId="0" fontId="14" numFmtId="0" xfId="0" applyAlignment="1" applyBorder="1" applyFont="1">
      <alignment horizontal="left" vertical="center"/>
    </xf>
    <xf borderId="43" fillId="0" fontId="15" numFmtId="9" xfId="0" applyBorder="1" applyFont="1" applyNumberFormat="1"/>
    <xf borderId="44" fillId="0" fontId="15" numFmtId="9" xfId="0" applyBorder="1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ncluded" id="{54c3d9c9-617d-4766-bdb2-e8944956ff0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1" dT="2020-11-12T15:23:11.00" personId="{54c3d9c9-617d-4766-bdb2-e8944956ff0c}" id="{578188ff-6582-4fa8-90c7-608ffc3b8d4d}" done="0">
    <x18tc:text xml:space="preserve">- Bar: 18sqm
- BOH: 12sqm
- WC: 10sqm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31.29"/>
    <col customWidth="1" min="3" max="3" width="14.43"/>
    <col customWidth="1" min="4" max="4" width="0.71"/>
    <col customWidth="1" min="5" max="5" width="20.14"/>
    <col customWidth="1" min="6" max="6" width="15.0"/>
    <col customWidth="1" min="7" max="7" width="11.71"/>
    <col customWidth="1" min="8" max="8" width="12.57"/>
    <col customWidth="1" min="9" max="9" width="18.29"/>
    <col customWidth="1" min="10" max="10" width="11.71"/>
    <col customWidth="1" min="11" max="11" width="26.14"/>
    <col customWidth="1" min="12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3">
        <v>22660.0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/>
      <c r="B4" s="5" t="s">
        <v>1</v>
      </c>
      <c r="C4" s="6"/>
      <c r="D4" s="7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4"/>
      <c r="B5" s="8" t="s">
        <v>2</v>
      </c>
      <c r="C5" s="9">
        <v>189.0</v>
      </c>
      <c r="D5" s="10"/>
      <c r="E5" s="11" t="s">
        <v>3</v>
      </c>
      <c r="F5" s="12">
        <v>1.7</v>
      </c>
      <c r="G5" s="13"/>
      <c r="H5" s="14" t="s">
        <v>4</v>
      </c>
      <c r="I5" s="15">
        <v>0.95</v>
      </c>
      <c r="J5" s="16">
        <f>I5*C5</f>
        <v>179.55</v>
      </c>
      <c r="K5" s="1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4"/>
      <c r="B6" s="18" t="s">
        <v>5</v>
      </c>
      <c r="C6" s="19">
        <v>71000.0</v>
      </c>
      <c r="D6" s="10"/>
      <c r="E6" s="20" t="s">
        <v>6</v>
      </c>
      <c r="F6" s="21">
        <f>C6/F5</f>
        <v>41764.70588</v>
      </c>
      <c r="G6" s="1"/>
      <c r="H6" s="22" t="s">
        <v>7</v>
      </c>
      <c r="I6" s="23">
        <f>1-I5</f>
        <v>0.05</v>
      </c>
      <c r="J6" s="24">
        <f>I6*C5</f>
        <v>9.45</v>
      </c>
      <c r="K6" s="2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4"/>
      <c r="B7" s="26" t="s">
        <v>8</v>
      </c>
      <c r="C7" s="27">
        <f>C5*C6</f>
        <v>13419000</v>
      </c>
      <c r="D7" s="10"/>
      <c r="E7" s="28" t="s">
        <v>9</v>
      </c>
      <c r="F7" s="29">
        <f>J5*F5</f>
        <v>305.235</v>
      </c>
      <c r="G7" s="30"/>
      <c r="H7" s="31"/>
      <c r="I7" s="31"/>
      <c r="J7" s="32"/>
      <c r="K7" s="1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4"/>
      <c r="B8" s="33"/>
      <c r="C8" s="10"/>
      <c r="D8" s="10"/>
      <c r="E8" s="4"/>
      <c r="F8" s="4"/>
      <c r="G8" s="4"/>
      <c r="H8" s="4"/>
      <c r="I8" s="4"/>
      <c r="J8" s="4"/>
      <c r="K8" s="1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4"/>
      <c r="B9" s="33" t="s">
        <v>10</v>
      </c>
      <c r="C9" s="34">
        <f>C7*30</f>
        <v>402570000</v>
      </c>
      <c r="D9" s="10"/>
      <c r="E9" s="35" t="s">
        <v>11</v>
      </c>
      <c r="F9" s="36"/>
      <c r="G9" s="37"/>
      <c r="H9" s="38"/>
      <c r="I9" s="38"/>
      <c r="J9" s="39"/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4"/>
      <c r="B10" s="40" t="s">
        <v>12</v>
      </c>
      <c r="C10" s="41">
        <f>C9*C23</f>
        <v>124796700</v>
      </c>
      <c r="D10" s="10"/>
      <c r="E10" s="20" t="s">
        <v>13</v>
      </c>
      <c r="F10" s="42">
        <v>500.0</v>
      </c>
      <c r="G10" s="17" t="s">
        <v>14</v>
      </c>
      <c r="H10" s="43">
        <v>29.0</v>
      </c>
      <c r="I10" s="25" t="s">
        <v>15</v>
      </c>
      <c r="J10" s="44">
        <f>120*H10*C2</f>
        <v>78856800</v>
      </c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4"/>
      <c r="B11" s="33" t="s">
        <v>16</v>
      </c>
      <c r="C11" s="10">
        <f>C9-C10</f>
        <v>277773300</v>
      </c>
      <c r="D11" s="10"/>
      <c r="E11" s="20" t="s">
        <v>17</v>
      </c>
      <c r="F11" s="45">
        <v>30.0</v>
      </c>
      <c r="G11" s="17"/>
      <c r="H11" s="17"/>
      <c r="I11" s="17"/>
      <c r="J11" s="46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4"/>
      <c r="B12" s="33"/>
      <c r="C12" s="10"/>
      <c r="D12" s="10"/>
      <c r="E12" s="20" t="s">
        <v>18</v>
      </c>
      <c r="F12" s="47">
        <f>F10-F11</f>
        <v>470</v>
      </c>
      <c r="G12" s="17"/>
      <c r="H12" s="17"/>
      <c r="I12" s="17"/>
      <c r="J12" s="46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4"/>
      <c r="B13" s="48" t="s">
        <v>19</v>
      </c>
      <c r="C13" s="10">
        <f>SUM(F27)</f>
        <v>56000000</v>
      </c>
      <c r="D13" s="10"/>
      <c r="E13" s="49" t="s">
        <v>20</v>
      </c>
      <c r="F13" s="50">
        <v>0.05</v>
      </c>
      <c r="G13" s="17" t="s">
        <v>21</v>
      </c>
      <c r="J13" s="51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4"/>
      <c r="B14" s="48" t="s">
        <v>15</v>
      </c>
      <c r="C14" s="10">
        <f>J10</f>
        <v>78856800</v>
      </c>
      <c r="D14" s="10"/>
      <c r="E14" s="52" t="s">
        <v>22</v>
      </c>
      <c r="F14" s="53">
        <f>F12*(1-F13)</f>
        <v>446.5</v>
      </c>
      <c r="G14" s="54" t="s">
        <v>23</v>
      </c>
      <c r="H14" s="55">
        <v>1.5</v>
      </c>
      <c r="I14" s="56" t="s">
        <v>24</v>
      </c>
      <c r="J14" s="57">
        <f>F14/H14</f>
        <v>297.6666667</v>
      </c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4"/>
      <c r="B15" s="48" t="s">
        <v>25</v>
      </c>
      <c r="C15" s="10">
        <f>C9*C27</f>
        <v>24154200</v>
      </c>
      <c r="D15" s="1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4"/>
      <c r="B16" s="48" t="s">
        <v>26</v>
      </c>
      <c r="C16" s="10">
        <f>C9*C28</f>
        <v>4025700</v>
      </c>
      <c r="D16" s="10"/>
      <c r="E16" s="58" t="s">
        <v>27</v>
      </c>
      <c r="F16" s="59">
        <v>0.7</v>
      </c>
      <c r="G16" s="60"/>
      <c r="H16" s="60"/>
      <c r="I16" s="60"/>
      <c r="J16" s="61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4"/>
      <c r="B17" s="48" t="s">
        <v>28</v>
      </c>
      <c r="C17" s="10">
        <f>C9*C29</f>
        <v>12077100</v>
      </c>
      <c r="D17" s="10"/>
      <c r="E17" s="62" t="s">
        <v>29</v>
      </c>
      <c r="F17" s="63" t="s">
        <v>30</v>
      </c>
      <c r="G17" s="63" t="s">
        <v>2</v>
      </c>
      <c r="H17" s="63" t="s">
        <v>31</v>
      </c>
      <c r="I17" s="63" t="s">
        <v>32</v>
      </c>
      <c r="J17" s="64" t="s">
        <v>24</v>
      </c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4"/>
      <c r="B18" s="48" t="s">
        <v>33</v>
      </c>
      <c r="C18" s="10">
        <f>C9*C30</f>
        <v>4025700</v>
      </c>
      <c r="D18" s="10"/>
      <c r="E18" s="20" t="s">
        <v>34</v>
      </c>
      <c r="F18" s="65">
        <v>0.3</v>
      </c>
      <c r="G18" s="66">
        <f t="shared" ref="G18:G21" si="1">$J$5*F18</f>
        <v>53.865</v>
      </c>
      <c r="H18" s="66">
        <f t="shared" ref="H18:H21" si="2">G18*$F$5</f>
        <v>91.5705</v>
      </c>
      <c r="I18" s="67">
        <v>2.0</v>
      </c>
      <c r="J18" s="68">
        <f t="shared" ref="J18:J21" si="3">H18/I18/$F$16</f>
        <v>65.4075</v>
      </c>
      <c r="K18" s="6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4"/>
      <c r="B19" s="48" t="s">
        <v>35</v>
      </c>
      <c r="C19" s="10">
        <f>C9*C31</f>
        <v>4025700</v>
      </c>
      <c r="D19" s="10"/>
      <c r="E19" s="20" t="s">
        <v>36</v>
      </c>
      <c r="F19" s="65">
        <v>0.2</v>
      </c>
      <c r="G19" s="66">
        <f t="shared" si="1"/>
        <v>35.91</v>
      </c>
      <c r="H19" s="66">
        <f t="shared" si="2"/>
        <v>61.047</v>
      </c>
      <c r="I19" s="67">
        <v>2.0</v>
      </c>
      <c r="J19" s="68">
        <f t="shared" si="3"/>
        <v>43.605</v>
      </c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"/>
      <c r="B20" s="40" t="s">
        <v>37</v>
      </c>
      <c r="C20" s="41">
        <f>F32/5/12</f>
        <v>42087173.33</v>
      </c>
      <c r="D20" s="10"/>
      <c r="E20" s="20" t="s">
        <v>38</v>
      </c>
      <c r="F20" s="65">
        <v>0.1</v>
      </c>
      <c r="G20" s="66">
        <f t="shared" si="1"/>
        <v>17.955</v>
      </c>
      <c r="H20" s="66">
        <f t="shared" si="2"/>
        <v>30.5235</v>
      </c>
      <c r="I20" s="67">
        <v>2.0</v>
      </c>
      <c r="J20" s="68">
        <f t="shared" si="3"/>
        <v>21.8025</v>
      </c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4"/>
      <c r="B21" s="33" t="s">
        <v>39</v>
      </c>
      <c r="C21" s="70">
        <f>C11-SUM(C13:C19)</f>
        <v>94608100</v>
      </c>
      <c r="D21" s="70"/>
      <c r="E21" s="71" t="s">
        <v>40</v>
      </c>
      <c r="F21" s="72">
        <v>0.4</v>
      </c>
      <c r="G21" s="73">
        <f t="shared" si="1"/>
        <v>71.82</v>
      </c>
      <c r="H21" s="73">
        <f t="shared" si="2"/>
        <v>122.094</v>
      </c>
      <c r="I21" s="55">
        <v>2.2</v>
      </c>
      <c r="J21" s="57">
        <f t="shared" si="3"/>
        <v>79.28181818</v>
      </c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4"/>
      <c r="B22" s="33"/>
      <c r="C22" s="74"/>
      <c r="D22" s="75"/>
      <c r="E22" s="1"/>
      <c r="F22" s="76"/>
      <c r="G22" s="1"/>
      <c r="H22" s="1"/>
      <c r="I22" s="1"/>
      <c r="J22" s="1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4"/>
      <c r="B23" s="48" t="s">
        <v>12</v>
      </c>
      <c r="C23" s="77">
        <v>0.31</v>
      </c>
      <c r="D23" s="78"/>
      <c r="E23" s="79" t="s">
        <v>19</v>
      </c>
      <c r="F23" s="38" t="s">
        <v>41</v>
      </c>
      <c r="G23" s="38" t="s">
        <v>42</v>
      </c>
      <c r="H23" s="38" t="s">
        <v>43</v>
      </c>
      <c r="I23" s="38" t="s">
        <v>44</v>
      </c>
      <c r="J23" s="39" t="s">
        <v>45</v>
      </c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4"/>
      <c r="B24" s="48" t="s">
        <v>46</v>
      </c>
      <c r="C24" s="78">
        <f>1-C23</f>
        <v>0.69</v>
      </c>
      <c r="D24" s="78"/>
      <c r="E24" s="80" t="s">
        <v>47</v>
      </c>
      <c r="F24" s="81">
        <v>1.0</v>
      </c>
      <c r="G24" s="81">
        <v>1.0</v>
      </c>
      <c r="H24" s="81">
        <v>1.0</v>
      </c>
      <c r="I24" s="81">
        <v>2.0</v>
      </c>
      <c r="J24" s="82">
        <v>1.0</v>
      </c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4"/>
      <c r="B25" s="48" t="s">
        <v>19</v>
      </c>
      <c r="C25" s="78">
        <f>C13/C9</f>
        <v>0.1391062424</v>
      </c>
      <c r="D25" s="78"/>
      <c r="E25" s="49" t="s">
        <v>48</v>
      </c>
      <c r="F25" s="83">
        <v>1.0</v>
      </c>
      <c r="G25" s="83">
        <v>2.0</v>
      </c>
      <c r="H25" s="83">
        <v>2.0</v>
      </c>
      <c r="I25" s="83">
        <v>2.0</v>
      </c>
      <c r="J25" s="84">
        <v>2.0</v>
      </c>
      <c r="K25" s="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4"/>
      <c r="B26" s="48" t="s">
        <v>15</v>
      </c>
      <c r="C26" s="78">
        <f>C14/C9</f>
        <v>0.1958834488</v>
      </c>
      <c r="D26" s="78"/>
      <c r="E26" s="20" t="s">
        <v>49</v>
      </c>
      <c r="F26" s="10">
        <v>1.2E7</v>
      </c>
      <c r="G26" s="10">
        <v>5500000.0</v>
      </c>
      <c r="H26" s="10">
        <v>5500000.0</v>
      </c>
      <c r="I26" s="10">
        <v>5500000.0</v>
      </c>
      <c r="J26" s="85">
        <v>5500000.0</v>
      </c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4"/>
      <c r="B27" s="48" t="s">
        <v>50</v>
      </c>
      <c r="C27" s="77">
        <v>0.06</v>
      </c>
      <c r="D27" s="78"/>
      <c r="E27" s="52" t="s">
        <v>51</v>
      </c>
      <c r="F27" s="86">
        <f>SUMPRODUCT(F25:J25,F26:J26)</f>
        <v>56000000</v>
      </c>
      <c r="G27" s="87"/>
      <c r="H27" s="87"/>
      <c r="I27" s="88"/>
      <c r="J27" s="89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4"/>
      <c r="B28" s="48" t="s">
        <v>52</v>
      </c>
      <c r="C28" s="77">
        <v>0.01</v>
      </c>
      <c r="D28" s="78"/>
      <c r="E28" s="1"/>
      <c r="F28" s="1"/>
      <c r="G28" s="1"/>
      <c r="H28" s="1"/>
      <c r="I28" s="4"/>
      <c r="J28" s="4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4"/>
      <c r="B29" s="48" t="s">
        <v>28</v>
      </c>
      <c r="C29" s="77">
        <v>0.03</v>
      </c>
      <c r="D29" s="78"/>
      <c r="E29" s="79" t="s">
        <v>53</v>
      </c>
      <c r="F29" s="90"/>
      <c r="G29" s="90"/>
      <c r="H29" s="38"/>
      <c r="I29" s="91"/>
      <c r="J29" s="92"/>
      <c r="K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48" t="s">
        <v>33</v>
      </c>
      <c r="C30" s="77">
        <v>0.01</v>
      </c>
      <c r="D30" s="78"/>
      <c r="E30" s="20" t="s">
        <v>54</v>
      </c>
      <c r="F30" s="43">
        <v>550.0</v>
      </c>
      <c r="G30" s="93">
        <f>550*120+60*250</f>
        <v>81000</v>
      </c>
      <c r="H30" s="25"/>
      <c r="I30" s="94" t="s">
        <v>55</v>
      </c>
      <c r="J30" s="95"/>
      <c r="K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4"/>
      <c r="B31" s="48" t="s">
        <v>35</v>
      </c>
      <c r="C31" s="77">
        <v>0.01</v>
      </c>
      <c r="D31" s="78"/>
      <c r="E31" s="20" t="s">
        <v>56</v>
      </c>
      <c r="F31" s="94"/>
      <c r="G31" s="96">
        <v>20000.0</v>
      </c>
      <c r="H31" s="25"/>
      <c r="I31" s="4" t="s">
        <v>57</v>
      </c>
      <c r="J31" s="95">
        <f>J10*3/C2</f>
        <v>10440</v>
      </c>
      <c r="K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4"/>
      <c r="B32" s="48" t="s">
        <v>37</v>
      </c>
      <c r="C32" s="78">
        <f>C20/C9</f>
        <v>0.1045462238</v>
      </c>
      <c r="D32" s="78"/>
      <c r="E32" s="52" t="s">
        <v>58</v>
      </c>
      <c r="F32" s="86">
        <f>J32*C2</f>
        <v>2525230400</v>
      </c>
      <c r="G32" s="97">
        <f>G31+G30</f>
        <v>101000</v>
      </c>
      <c r="H32" s="56"/>
      <c r="I32" s="98" t="s">
        <v>59</v>
      </c>
      <c r="J32" s="99">
        <f>G32+J31+J30</f>
        <v>111440</v>
      </c>
      <c r="K32" s="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4"/>
      <c r="B33" s="100" t="s">
        <v>39</v>
      </c>
      <c r="C33" s="101">
        <f>C21/C9</f>
        <v>0.2350103088</v>
      </c>
      <c r="D33" s="102"/>
      <c r="E33" s="4"/>
      <c r="F33" s="4"/>
      <c r="G33" s="4"/>
      <c r="H33" s="4"/>
      <c r="I33" s="4"/>
      <c r="J33" s="4"/>
      <c r="K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4"/>
      <c r="B34" s="103" t="s">
        <v>60</v>
      </c>
      <c r="C34" s="104">
        <f>SUM(C33-C32)</f>
        <v>0.1304640849</v>
      </c>
      <c r="D34" s="94"/>
      <c r="E34" s="105" t="s">
        <v>61</v>
      </c>
      <c r="F34" s="106">
        <f>'Monthly Ramp Up'!S20/(J32*C2)</f>
        <v>0.4495816303</v>
      </c>
      <c r="G34" s="107">
        <f>(J32*C2)/(C21*12)</f>
        <v>2.224290168</v>
      </c>
      <c r="H34" s="108"/>
      <c r="I34" s="108"/>
      <c r="J34" s="108"/>
      <c r="K34" s="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09"/>
      <c r="C35" s="76"/>
      <c r="D35" s="1"/>
      <c r="E35" s="110"/>
      <c r="F35" s="1"/>
      <c r="G35" s="1"/>
      <c r="H35" s="111"/>
      <c r="I35" s="94"/>
      <c r="J35" s="94"/>
      <c r="K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12" t="s">
        <v>62</v>
      </c>
      <c r="C36" s="113">
        <f>SUM(C13:C14)/(1-C23-SUM(C27:C30))</f>
        <v>232511724.1</v>
      </c>
      <c r="D36" s="1"/>
      <c r="E36" s="114"/>
      <c r="F36" s="115"/>
      <c r="G36" s="1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16" t="s">
        <v>63</v>
      </c>
      <c r="C37" s="117">
        <f>C36/30/C6</f>
        <v>109.1604339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1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1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4:C4"/>
    <mergeCell ref="G13:J13"/>
  </mergeCells>
  <conditionalFormatting sqref="J18:J21">
    <cfRule type="cellIs" dxfId="0" priority="1" operator="greaterThan">
      <formula>$J$14</formula>
    </cfRule>
  </conditionalFormatting>
  <conditionalFormatting sqref="J18:J21">
    <cfRule type="cellIs" dxfId="0" priority="2" operator="greaterThan">
      <formula>$F$12</formula>
    </cfRule>
  </conditionalFormatting>
  <printOptions/>
  <pageMargins bottom="0.75" footer="0.0" header="0.0" left="0.7" right="0.7" top="0.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14"/>
    <col customWidth="1" min="2" max="18" width="13.43"/>
    <col customWidth="1" min="19" max="19" width="16.29"/>
    <col customWidth="1" min="20" max="26" width="8.71"/>
  </cols>
  <sheetData>
    <row r="1" ht="21.0" customHeight="1">
      <c r="A1" s="120"/>
      <c r="B1" s="121" t="s">
        <v>64</v>
      </c>
      <c r="C1" s="122" t="s">
        <v>65</v>
      </c>
      <c r="D1" s="122" t="s">
        <v>66</v>
      </c>
      <c r="E1" s="122" t="s">
        <v>67</v>
      </c>
      <c r="F1" s="122" t="s">
        <v>68</v>
      </c>
      <c r="G1" s="122" t="s">
        <v>69</v>
      </c>
      <c r="H1" s="122" t="s">
        <v>70</v>
      </c>
      <c r="I1" s="122" t="s">
        <v>71</v>
      </c>
      <c r="J1" s="122" t="s">
        <v>72</v>
      </c>
      <c r="K1" s="122" t="s">
        <v>73</v>
      </c>
      <c r="L1" s="122" t="s">
        <v>74</v>
      </c>
      <c r="M1" s="122" t="s">
        <v>75</v>
      </c>
      <c r="N1" s="122" t="s">
        <v>76</v>
      </c>
      <c r="O1" s="122" t="s">
        <v>77</v>
      </c>
      <c r="P1" s="122" t="s">
        <v>78</v>
      </c>
      <c r="Q1" s="122" t="s">
        <v>79</v>
      </c>
      <c r="R1" s="122" t="s">
        <v>80</v>
      </c>
      <c r="S1" s="123" t="s">
        <v>81</v>
      </c>
    </row>
    <row r="2">
      <c r="B2" s="124">
        <v>0.5</v>
      </c>
      <c r="C2" s="124">
        <v>0.6</v>
      </c>
      <c r="D2" s="124">
        <v>0.7</v>
      </c>
      <c r="E2" s="124">
        <v>0.8</v>
      </c>
      <c r="F2" s="124">
        <v>0.9</v>
      </c>
      <c r="G2" s="124">
        <v>1.0</v>
      </c>
      <c r="H2" s="124">
        <v>1.0</v>
      </c>
      <c r="I2" s="124">
        <f t="shared" ref="I2:Q2" si="1">H2</f>
        <v>1</v>
      </c>
      <c r="J2" s="124">
        <f t="shared" si="1"/>
        <v>1</v>
      </c>
      <c r="K2" s="124">
        <f t="shared" si="1"/>
        <v>1</v>
      </c>
      <c r="L2" s="124">
        <f t="shared" si="1"/>
        <v>1</v>
      </c>
      <c r="M2" s="124">
        <f t="shared" si="1"/>
        <v>1</v>
      </c>
      <c r="N2" s="124">
        <f t="shared" si="1"/>
        <v>1</v>
      </c>
      <c r="O2" s="124">
        <f t="shared" si="1"/>
        <v>1</v>
      </c>
      <c r="P2" s="124">
        <f t="shared" si="1"/>
        <v>1</v>
      </c>
      <c r="Q2" s="124">
        <f t="shared" si="1"/>
        <v>1</v>
      </c>
      <c r="R2" s="124">
        <f>L2</f>
        <v>1</v>
      </c>
      <c r="S2" s="125"/>
    </row>
    <row r="3">
      <c r="A3" s="126" t="s">
        <v>1</v>
      </c>
      <c r="S3" s="125"/>
    </row>
    <row r="4">
      <c r="A4" s="33" t="s">
        <v>2</v>
      </c>
      <c r="B4" s="10">
        <f>'Box Econs_Standard'!$C$5*B2</f>
        <v>94.5</v>
      </c>
      <c r="C4" s="10">
        <f>'Box Econs_Standard'!$C$5*C2</f>
        <v>113.4</v>
      </c>
      <c r="D4" s="10">
        <f>'Box Econs_Standard'!$C$5*D2</f>
        <v>132.3</v>
      </c>
      <c r="E4" s="10">
        <f>'Box Econs_Standard'!$C$5*E2</f>
        <v>151.2</v>
      </c>
      <c r="F4" s="10">
        <f>'Box Econs_Standard'!$C$5*F2</f>
        <v>170.1</v>
      </c>
      <c r="G4" s="10">
        <f>'Box Econs_Standard'!$C$5*G2</f>
        <v>189</v>
      </c>
      <c r="H4" s="10">
        <f>'Box Econs_Standard'!$C$5*H2</f>
        <v>189</v>
      </c>
      <c r="I4" s="10">
        <f>'Box Econs_Standard'!$C$5*I2</f>
        <v>189</v>
      </c>
      <c r="J4" s="10">
        <f>'Box Econs_Standard'!$C$5*J2</f>
        <v>189</v>
      </c>
      <c r="K4" s="10">
        <f>'Box Econs_Standard'!$C$5*K2</f>
        <v>189</v>
      </c>
      <c r="L4" s="10">
        <f>'Box Econs_Standard'!$C$5*L2</f>
        <v>189</v>
      </c>
      <c r="M4" s="10">
        <f>'Box Econs_Standard'!$C$5*M2</f>
        <v>189</v>
      </c>
      <c r="N4" s="10">
        <f>'Box Econs_Standard'!$C$5*N2</f>
        <v>189</v>
      </c>
      <c r="O4" s="10">
        <f>'Box Econs_Standard'!$C$5*O2</f>
        <v>189</v>
      </c>
      <c r="P4" s="10">
        <f>'Box Econs_Standard'!$C$5*P2</f>
        <v>189</v>
      </c>
      <c r="Q4" s="10">
        <f>'Box Econs_Standard'!$C$5*Q2</f>
        <v>189</v>
      </c>
      <c r="R4" s="10">
        <f>'Box Econs_Standard'!$C$5*R2</f>
        <v>189</v>
      </c>
      <c r="S4" s="127">
        <f t="shared" ref="S4:S5" si="3">AVERAGE(G4:R4)</f>
        <v>189</v>
      </c>
    </row>
    <row r="5">
      <c r="A5" s="33" t="s">
        <v>82</v>
      </c>
      <c r="B5" s="10">
        <f>'Box Econs_Standard'!C6</f>
        <v>71000</v>
      </c>
      <c r="C5" s="10">
        <f t="shared" ref="C5:Q5" si="2">B5</f>
        <v>71000</v>
      </c>
      <c r="D5" s="10">
        <f t="shared" si="2"/>
        <v>71000</v>
      </c>
      <c r="E5" s="10">
        <f t="shared" si="2"/>
        <v>71000</v>
      </c>
      <c r="F5" s="10">
        <f t="shared" si="2"/>
        <v>71000</v>
      </c>
      <c r="G5" s="10">
        <f t="shared" si="2"/>
        <v>71000</v>
      </c>
      <c r="H5" s="10">
        <f t="shared" si="2"/>
        <v>71000</v>
      </c>
      <c r="I5" s="10">
        <f t="shared" si="2"/>
        <v>71000</v>
      </c>
      <c r="J5" s="10">
        <f t="shared" si="2"/>
        <v>71000</v>
      </c>
      <c r="K5" s="10">
        <f t="shared" si="2"/>
        <v>71000</v>
      </c>
      <c r="L5" s="10">
        <f t="shared" si="2"/>
        <v>71000</v>
      </c>
      <c r="M5" s="10">
        <f t="shared" si="2"/>
        <v>71000</v>
      </c>
      <c r="N5" s="10">
        <f t="shared" si="2"/>
        <v>71000</v>
      </c>
      <c r="O5" s="10">
        <f t="shared" si="2"/>
        <v>71000</v>
      </c>
      <c r="P5" s="10">
        <f t="shared" si="2"/>
        <v>71000</v>
      </c>
      <c r="Q5" s="10">
        <f t="shared" si="2"/>
        <v>71000</v>
      </c>
      <c r="R5" s="10">
        <f>L5</f>
        <v>71000</v>
      </c>
      <c r="S5" s="127">
        <f t="shared" si="3"/>
        <v>71000</v>
      </c>
    </row>
    <row r="6">
      <c r="A6" s="33" t="s">
        <v>8</v>
      </c>
      <c r="B6" s="10">
        <f t="shared" ref="B6:S6" si="4">B4*B5</f>
        <v>6709500</v>
      </c>
      <c r="C6" s="10">
        <f t="shared" si="4"/>
        <v>8051400</v>
      </c>
      <c r="D6" s="10">
        <f t="shared" si="4"/>
        <v>9393300</v>
      </c>
      <c r="E6" s="10">
        <f t="shared" si="4"/>
        <v>10735200</v>
      </c>
      <c r="F6" s="10">
        <f t="shared" si="4"/>
        <v>12077100</v>
      </c>
      <c r="G6" s="10">
        <f t="shared" si="4"/>
        <v>13419000</v>
      </c>
      <c r="H6" s="10">
        <f t="shared" si="4"/>
        <v>13419000</v>
      </c>
      <c r="I6" s="10">
        <f t="shared" si="4"/>
        <v>13419000</v>
      </c>
      <c r="J6" s="10">
        <f t="shared" si="4"/>
        <v>13419000</v>
      </c>
      <c r="K6" s="10">
        <f t="shared" si="4"/>
        <v>13419000</v>
      </c>
      <c r="L6" s="10">
        <f t="shared" si="4"/>
        <v>13419000</v>
      </c>
      <c r="M6" s="10">
        <f t="shared" si="4"/>
        <v>13419000</v>
      </c>
      <c r="N6" s="10">
        <f t="shared" si="4"/>
        <v>13419000</v>
      </c>
      <c r="O6" s="10">
        <f t="shared" si="4"/>
        <v>13419000</v>
      </c>
      <c r="P6" s="10">
        <f t="shared" si="4"/>
        <v>13419000</v>
      </c>
      <c r="Q6" s="10">
        <f t="shared" si="4"/>
        <v>13419000</v>
      </c>
      <c r="R6" s="10">
        <f t="shared" si="4"/>
        <v>13419000</v>
      </c>
      <c r="S6" s="127">
        <f t="shared" si="4"/>
        <v>13419000</v>
      </c>
    </row>
    <row r="7">
      <c r="A7" s="33"/>
      <c r="B7" s="10"/>
      <c r="S7" s="125"/>
    </row>
    <row r="8">
      <c r="A8" s="128" t="s">
        <v>83</v>
      </c>
      <c r="B8" s="129">
        <f>'Box Econs_Standard'!$C$9*'Monthly Ramp Up'!B2</f>
        <v>201285000</v>
      </c>
      <c r="C8" s="129">
        <f>'Box Econs_Standard'!$C$9*'Monthly Ramp Up'!C2</f>
        <v>241542000</v>
      </c>
      <c r="D8" s="129">
        <f>'Box Econs_Standard'!$C$9*'Monthly Ramp Up'!D2</f>
        <v>281799000</v>
      </c>
      <c r="E8" s="129">
        <f>'Box Econs_Standard'!$C$9*'Monthly Ramp Up'!E2</f>
        <v>322056000</v>
      </c>
      <c r="F8" s="129">
        <f>'Box Econs_Standard'!$C$9*'Monthly Ramp Up'!F2</f>
        <v>362313000</v>
      </c>
      <c r="G8" s="129">
        <f>'Box Econs_Standard'!$C$9*'Monthly Ramp Up'!G2</f>
        <v>402570000</v>
      </c>
      <c r="H8" s="129">
        <f>'Box Econs_Standard'!$C$9*'Monthly Ramp Up'!H2</f>
        <v>402570000</v>
      </c>
      <c r="I8" s="129">
        <f>'Box Econs_Standard'!$C$9*'Monthly Ramp Up'!I2</f>
        <v>402570000</v>
      </c>
      <c r="J8" s="129">
        <f>'Box Econs_Standard'!$C$9*'Monthly Ramp Up'!J2</f>
        <v>402570000</v>
      </c>
      <c r="K8" s="129">
        <f>'Box Econs_Standard'!$C$9*'Monthly Ramp Up'!K2</f>
        <v>402570000</v>
      </c>
      <c r="L8" s="129">
        <f>'Box Econs_Standard'!$C$9*'Monthly Ramp Up'!L2</f>
        <v>402570000</v>
      </c>
      <c r="M8" s="129">
        <f>'Box Econs_Standard'!$C$9*'Monthly Ramp Up'!M2</f>
        <v>402570000</v>
      </c>
      <c r="N8" s="129">
        <f>'Box Econs_Standard'!$C$9*'Monthly Ramp Up'!N2</f>
        <v>402570000</v>
      </c>
      <c r="O8" s="129">
        <f>'Box Econs_Standard'!$C$9*'Monthly Ramp Up'!O2</f>
        <v>402570000</v>
      </c>
      <c r="P8" s="129">
        <f>'Box Econs_Standard'!$C$9*'Monthly Ramp Up'!P2</f>
        <v>402570000</v>
      </c>
      <c r="Q8" s="129">
        <f>'Box Econs_Standard'!$C$9*'Monthly Ramp Up'!Q2</f>
        <v>402570000</v>
      </c>
      <c r="R8" s="129">
        <f>'Box Econs_Standard'!$C$9*'Monthly Ramp Up'!R2</f>
        <v>402570000</v>
      </c>
      <c r="S8" s="130">
        <f t="shared" ref="S8:S9" si="6">SUM(G8:R8)</f>
        <v>4830840000</v>
      </c>
    </row>
    <row r="9">
      <c r="A9" s="131" t="s">
        <v>12</v>
      </c>
      <c r="B9" s="132">
        <f t="shared" ref="B9:R9" si="5">B8*B22</f>
        <v>62398350</v>
      </c>
      <c r="C9" s="132">
        <f t="shared" si="5"/>
        <v>74878020</v>
      </c>
      <c r="D9" s="132">
        <f t="shared" si="5"/>
        <v>87357690</v>
      </c>
      <c r="E9" s="132">
        <f t="shared" si="5"/>
        <v>99837360</v>
      </c>
      <c r="F9" s="132">
        <f t="shared" si="5"/>
        <v>112317030</v>
      </c>
      <c r="G9" s="132">
        <f t="shared" si="5"/>
        <v>124796700</v>
      </c>
      <c r="H9" s="132">
        <f t="shared" si="5"/>
        <v>124796700</v>
      </c>
      <c r="I9" s="132">
        <f t="shared" si="5"/>
        <v>124796700</v>
      </c>
      <c r="J9" s="132">
        <f t="shared" si="5"/>
        <v>124796700</v>
      </c>
      <c r="K9" s="132">
        <f t="shared" si="5"/>
        <v>124796700</v>
      </c>
      <c r="L9" s="132">
        <f t="shared" si="5"/>
        <v>124796700</v>
      </c>
      <c r="M9" s="132">
        <f t="shared" si="5"/>
        <v>124796700</v>
      </c>
      <c r="N9" s="132">
        <f t="shared" si="5"/>
        <v>124796700</v>
      </c>
      <c r="O9" s="132">
        <f t="shared" si="5"/>
        <v>124796700</v>
      </c>
      <c r="P9" s="132">
        <f t="shared" si="5"/>
        <v>124796700</v>
      </c>
      <c r="Q9" s="132">
        <f t="shared" si="5"/>
        <v>124796700</v>
      </c>
      <c r="R9" s="132">
        <f t="shared" si="5"/>
        <v>124796700</v>
      </c>
      <c r="S9" s="133">
        <f t="shared" si="6"/>
        <v>1497560400</v>
      </c>
    </row>
    <row r="10">
      <c r="A10" s="128" t="s">
        <v>16</v>
      </c>
      <c r="B10" s="129">
        <f t="shared" ref="B10:S10" si="7">B8-B9</f>
        <v>138886650</v>
      </c>
      <c r="C10" s="129">
        <f t="shared" si="7"/>
        <v>166663980</v>
      </c>
      <c r="D10" s="129">
        <f t="shared" si="7"/>
        <v>194441310</v>
      </c>
      <c r="E10" s="129">
        <f t="shared" si="7"/>
        <v>222218640</v>
      </c>
      <c r="F10" s="129">
        <f t="shared" si="7"/>
        <v>249995970</v>
      </c>
      <c r="G10" s="129">
        <f t="shared" si="7"/>
        <v>277773300</v>
      </c>
      <c r="H10" s="129">
        <f t="shared" si="7"/>
        <v>277773300</v>
      </c>
      <c r="I10" s="129">
        <f t="shared" si="7"/>
        <v>277773300</v>
      </c>
      <c r="J10" s="129">
        <f t="shared" si="7"/>
        <v>277773300</v>
      </c>
      <c r="K10" s="129">
        <f t="shared" si="7"/>
        <v>277773300</v>
      </c>
      <c r="L10" s="129">
        <f t="shared" si="7"/>
        <v>277773300</v>
      </c>
      <c r="M10" s="129">
        <f t="shared" si="7"/>
        <v>277773300</v>
      </c>
      <c r="N10" s="129">
        <f t="shared" si="7"/>
        <v>277773300</v>
      </c>
      <c r="O10" s="129">
        <f t="shared" si="7"/>
        <v>277773300</v>
      </c>
      <c r="P10" s="129">
        <f t="shared" si="7"/>
        <v>277773300</v>
      </c>
      <c r="Q10" s="129">
        <f t="shared" si="7"/>
        <v>277773300</v>
      </c>
      <c r="R10" s="129">
        <f t="shared" si="7"/>
        <v>277773300</v>
      </c>
      <c r="S10" s="130">
        <f t="shared" si="7"/>
        <v>3333279600</v>
      </c>
    </row>
    <row r="11">
      <c r="A11" s="128"/>
      <c r="B11" s="129"/>
      <c r="S11" s="125"/>
    </row>
    <row r="12">
      <c r="A12" s="134" t="s">
        <v>19</v>
      </c>
      <c r="B12" s="129">
        <f>'Box Econs_Standard'!$C$13</f>
        <v>56000000</v>
      </c>
      <c r="C12" s="129">
        <f t="shared" ref="C12:Q12" si="8">B12</f>
        <v>56000000</v>
      </c>
      <c r="D12" s="129">
        <f t="shared" si="8"/>
        <v>56000000</v>
      </c>
      <c r="E12" s="129">
        <f t="shared" si="8"/>
        <v>56000000</v>
      </c>
      <c r="F12" s="129">
        <f t="shared" si="8"/>
        <v>56000000</v>
      </c>
      <c r="G12" s="129">
        <f t="shared" si="8"/>
        <v>56000000</v>
      </c>
      <c r="H12" s="129">
        <f t="shared" si="8"/>
        <v>56000000</v>
      </c>
      <c r="I12" s="129">
        <f t="shared" si="8"/>
        <v>56000000</v>
      </c>
      <c r="J12" s="129">
        <f t="shared" si="8"/>
        <v>56000000</v>
      </c>
      <c r="K12" s="129">
        <f t="shared" si="8"/>
        <v>56000000</v>
      </c>
      <c r="L12" s="129">
        <f t="shared" si="8"/>
        <v>56000000</v>
      </c>
      <c r="M12" s="129">
        <f t="shared" si="8"/>
        <v>56000000</v>
      </c>
      <c r="N12" s="129">
        <f t="shared" si="8"/>
        <v>56000000</v>
      </c>
      <c r="O12" s="129">
        <f t="shared" si="8"/>
        <v>56000000</v>
      </c>
      <c r="P12" s="129">
        <f t="shared" si="8"/>
        <v>56000000</v>
      </c>
      <c r="Q12" s="129">
        <f t="shared" si="8"/>
        <v>56000000</v>
      </c>
      <c r="R12" s="129">
        <f t="shared" ref="R12:R13" si="10">L12</f>
        <v>56000000</v>
      </c>
      <c r="S12" s="130">
        <f t="shared" ref="S12:S19" si="11">SUM(G12:R12)</f>
        <v>672000000</v>
      </c>
    </row>
    <row r="13">
      <c r="A13" s="134" t="s">
        <v>15</v>
      </c>
      <c r="B13" s="129">
        <f>'Box Econs_Standard'!$C$14</f>
        <v>78856800</v>
      </c>
      <c r="C13" s="129">
        <f t="shared" ref="C13:Q13" si="9">B13</f>
        <v>78856800</v>
      </c>
      <c r="D13" s="129">
        <f t="shared" si="9"/>
        <v>78856800</v>
      </c>
      <c r="E13" s="129">
        <f t="shared" si="9"/>
        <v>78856800</v>
      </c>
      <c r="F13" s="129">
        <f t="shared" si="9"/>
        <v>78856800</v>
      </c>
      <c r="G13" s="129">
        <f t="shared" si="9"/>
        <v>78856800</v>
      </c>
      <c r="H13" s="129">
        <f t="shared" si="9"/>
        <v>78856800</v>
      </c>
      <c r="I13" s="129">
        <f t="shared" si="9"/>
        <v>78856800</v>
      </c>
      <c r="J13" s="129">
        <f t="shared" si="9"/>
        <v>78856800</v>
      </c>
      <c r="K13" s="129">
        <f t="shared" si="9"/>
        <v>78856800</v>
      </c>
      <c r="L13" s="129">
        <f t="shared" si="9"/>
        <v>78856800</v>
      </c>
      <c r="M13" s="129">
        <f t="shared" si="9"/>
        <v>78856800</v>
      </c>
      <c r="N13" s="129">
        <f t="shared" si="9"/>
        <v>78856800</v>
      </c>
      <c r="O13" s="129">
        <f t="shared" si="9"/>
        <v>78856800</v>
      </c>
      <c r="P13" s="129">
        <f t="shared" si="9"/>
        <v>78856800</v>
      </c>
      <c r="Q13" s="129">
        <f t="shared" si="9"/>
        <v>78856800</v>
      </c>
      <c r="R13" s="129">
        <f t="shared" si="10"/>
        <v>78856800</v>
      </c>
      <c r="S13" s="130">
        <f t="shared" si="11"/>
        <v>946281600</v>
      </c>
    </row>
    <row r="14">
      <c r="A14" s="134" t="s">
        <v>25</v>
      </c>
      <c r="B14" s="129">
        <f t="shared" ref="B14:R14" si="12">B$8*B26</f>
        <v>12077100</v>
      </c>
      <c r="C14" s="129">
        <f t="shared" si="12"/>
        <v>14492520</v>
      </c>
      <c r="D14" s="129">
        <f t="shared" si="12"/>
        <v>16907940</v>
      </c>
      <c r="E14" s="129">
        <f t="shared" si="12"/>
        <v>19323360</v>
      </c>
      <c r="F14" s="129">
        <f t="shared" si="12"/>
        <v>21738780</v>
      </c>
      <c r="G14" s="129">
        <f t="shared" si="12"/>
        <v>24154200</v>
      </c>
      <c r="H14" s="129">
        <f t="shared" si="12"/>
        <v>24154200</v>
      </c>
      <c r="I14" s="129">
        <f t="shared" si="12"/>
        <v>24154200</v>
      </c>
      <c r="J14" s="129">
        <f t="shared" si="12"/>
        <v>24154200</v>
      </c>
      <c r="K14" s="129">
        <f t="shared" si="12"/>
        <v>24154200</v>
      </c>
      <c r="L14" s="129">
        <f t="shared" si="12"/>
        <v>24154200</v>
      </c>
      <c r="M14" s="129">
        <f t="shared" si="12"/>
        <v>24154200</v>
      </c>
      <c r="N14" s="129">
        <f t="shared" si="12"/>
        <v>24154200</v>
      </c>
      <c r="O14" s="129">
        <f t="shared" si="12"/>
        <v>24154200</v>
      </c>
      <c r="P14" s="129">
        <f t="shared" si="12"/>
        <v>24154200</v>
      </c>
      <c r="Q14" s="129">
        <f t="shared" si="12"/>
        <v>24154200</v>
      </c>
      <c r="R14" s="129">
        <f t="shared" si="12"/>
        <v>24154200</v>
      </c>
      <c r="S14" s="130">
        <f t="shared" si="11"/>
        <v>289850400</v>
      </c>
    </row>
    <row r="15">
      <c r="A15" s="134" t="s">
        <v>26</v>
      </c>
      <c r="B15" s="129">
        <f t="shared" ref="B15:R15" si="13">B$8*B27</f>
        <v>2012850</v>
      </c>
      <c r="C15" s="129">
        <f t="shared" si="13"/>
        <v>2415420</v>
      </c>
      <c r="D15" s="129">
        <f t="shared" si="13"/>
        <v>2817990</v>
      </c>
      <c r="E15" s="129">
        <f t="shared" si="13"/>
        <v>3220560</v>
      </c>
      <c r="F15" s="129">
        <f t="shared" si="13"/>
        <v>3623130</v>
      </c>
      <c r="G15" s="129">
        <f t="shared" si="13"/>
        <v>4025700</v>
      </c>
      <c r="H15" s="129">
        <f t="shared" si="13"/>
        <v>4025700</v>
      </c>
      <c r="I15" s="129">
        <f t="shared" si="13"/>
        <v>4025700</v>
      </c>
      <c r="J15" s="129">
        <f t="shared" si="13"/>
        <v>4025700</v>
      </c>
      <c r="K15" s="129">
        <f t="shared" si="13"/>
        <v>4025700</v>
      </c>
      <c r="L15" s="129">
        <f t="shared" si="13"/>
        <v>4025700</v>
      </c>
      <c r="M15" s="129">
        <f t="shared" si="13"/>
        <v>4025700</v>
      </c>
      <c r="N15" s="129">
        <f t="shared" si="13"/>
        <v>4025700</v>
      </c>
      <c r="O15" s="129">
        <f t="shared" si="13"/>
        <v>4025700</v>
      </c>
      <c r="P15" s="129">
        <f t="shared" si="13"/>
        <v>4025700</v>
      </c>
      <c r="Q15" s="129">
        <f t="shared" si="13"/>
        <v>4025700</v>
      </c>
      <c r="R15" s="129">
        <f t="shared" si="13"/>
        <v>4025700</v>
      </c>
      <c r="S15" s="130">
        <f t="shared" si="11"/>
        <v>48308400</v>
      </c>
    </row>
    <row r="16">
      <c r="A16" s="134" t="s">
        <v>28</v>
      </c>
      <c r="B16" s="129">
        <f t="shared" ref="B16:R16" si="14">B$8*B28</f>
        <v>6038550</v>
      </c>
      <c r="C16" s="129">
        <f t="shared" si="14"/>
        <v>7246260</v>
      </c>
      <c r="D16" s="129">
        <f t="shared" si="14"/>
        <v>8453970</v>
      </c>
      <c r="E16" s="129">
        <f t="shared" si="14"/>
        <v>9661680</v>
      </c>
      <c r="F16" s="129">
        <f t="shared" si="14"/>
        <v>10869390</v>
      </c>
      <c r="G16" s="129">
        <f t="shared" si="14"/>
        <v>12077100</v>
      </c>
      <c r="H16" s="129">
        <f t="shared" si="14"/>
        <v>12077100</v>
      </c>
      <c r="I16" s="129">
        <f t="shared" si="14"/>
        <v>12077100</v>
      </c>
      <c r="J16" s="129">
        <f t="shared" si="14"/>
        <v>12077100</v>
      </c>
      <c r="K16" s="129">
        <f t="shared" si="14"/>
        <v>12077100</v>
      </c>
      <c r="L16" s="129">
        <f t="shared" si="14"/>
        <v>12077100</v>
      </c>
      <c r="M16" s="129">
        <f t="shared" si="14"/>
        <v>12077100</v>
      </c>
      <c r="N16" s="129">
        <f t="shared" si="14"/>
        <v>12077100</v>
      </c>
      <c r="O16" s="129">
        <f t="shared" si="14"/>
        <v>12077100</v>
      </c>
      <c r="P16" s="129">
        <f t="shared" si="14"/>
        <v>12077100</v>
      </c>
      <c r="Q16" s="129">
        <f t="shared" si="14"/>
        <v>12077100</v>
      </c>
      <c r="R16" s="129">
        <f t="shared" si="14"/>
        <v>12077100</v>
      </c>
      <c r="S16" s="130">
        <f t="shared" si="11"/>
        <v>144925200</v>
      </c>
    </row>
    <row r="17">
      <c r="A17" s="134" t="s">
        <v>33</v>
      </c>
      <c r="B17" s="129">
        <f t="shared" ref="B17:R17" si="15">B$8*B29</f>
        <v>2012850</v>
      </c>
      <c r="C17" s="129">
        <f t="shared" si="15"/>
        <v>2415420</v>
      </c>
      <c r="D17" s="129">
        <f t="shared" si="15"/>
        <v>2817990</v>
      </c>
      <c r="E17" s="129">
        <f t="shared" si="15"/>
        <v>3220560</v>
      </c>
      <c r="F17" s="129">
        <f t="shared" si="15"/>
        <v>3623130</v>
      </c>
      <c r="G17" s="129">
        <f t="shared" si="15"/>
        <v>4025700</v>
      </c>
      <c r="H17" s="129">
        <f t="shared" si="15"/>
        <v>4025700</v>
      </c>
      <c r="I17" s="129">
        <f t="shared" si="15"/>
        <v>4025700</v>
      </c>
      <c r="J17" s="129">
        <f t="shared" si="15"/>
        <v>4025700</v>
      </c>
      <c r="K17" s="129">
        <f t="shared" si="15"/>
        <v>4025700</v>
      </c>
      <c r="L17" s="129">
        <f t="shared" si="15"/>
        <v>4025700</v>
      </c>
      <c r="M17" s="129">
        <f t="shared" si="15"/>
        <v>4025700</v>
      </c>
      <c r="N17" s="129">
        <f t="shared" si="15"/>
        <v>4025700</v>
      </c>
      <c r="O17" s="129">
        <f t="shared" si="15"/>
        <v>4025700</v>
      </c>
      <c r="P17" s="129">
        <f t="shared" si="15"/>
        <v>4025700</v>
      </c>
      <c r="Q17" s="129">
        <f t="shared" si="15"/>
        <v>4025700</v>
      </c>
      <c r="R17" s="129">
        <f t="shared" si="15"/>
        <v>4025700</v>
      </c>
      <c r="S17" s="130">
        <f t="shared" si="11"/>
        <v>48308400</v>
      </c>
    </row>
    <row r="18">
      <c r="A18" s="134" t="s">
        <v>35</v>
      </c>
      <c r="B18" s="129">
        <f t="shared" ref="B18:R18" si="16">B$8*B30</f>
        <v>2012850</v>
      </c>
      <c r="C18" s="129">
        <f t="shared" si="16"/>
        <v>2415420</v>
      </c>
      <c r="D18" s="129">
        <f t="shared" si="16"/>
        <v>2817990</v>
      </c>
      <c r="E18" s="129">
        <f t="shared" si="16"/>
        <v>3220560</v>
      </c>
      <c r="F18" s="129">
        <f t="shared" si="16"/>
        <v>3623130</v>
      </c>
      <c r="G18" s="129">
        <f t="shared" si="16"/>
        <v>4025700</v>
      </c>
      <c r="H18" s="129">
        <f t="shared" si="16"/>
        <v>4025700</v>
      </c>
      <c r="I18" s="129">
        <f t="shared" si="16"/>
        <v>4025700</v>
      </c>
      <c r="J18" s="129">
        <f t="shared" si="16"/>
        <v>4025700</v>
      </c>
      <c r="K18" s="129">
        <f t="shared" si="16"/>
        <v>4025700</v>
      </c>
      <c r="L18" s="129">
        <f t="shared" si="16"/>
        <v>4025700</v>
      </c>
      <c r="M18" s="129">
        <f t="shared" si="16"/>
        <v>4025700</v>
      </c>
      <c r="N18" s="129">
        <f t="shared" si="16"/>
        <v>4025700</v>
      </c>
      <c r="O18" s="129">
        <f t="shared" si="16"/>
        <v>4025700</v>
      </c>
      <c r="P18" s="129">
        <f t="shared" si="16"/>
        <v>4025700</v>
      </c>
      <c r="Q18" s="129">
        <f t="shared" si="16"/>
        <v>4025700</v>
      </c>
      <c r="R18" s="129">
        <f t="shared" si="16"/>
        <v>4025700</v>
      </c>
      <c r="S18" s="130">
        <f t="shared" si="11"/>
        <v>48308400</v>
      </c>
    </row>
    <row r="19">
      <c r="A19" s="131" t="s">
        <v>37</v>
      </c>
      <c r="B19" s="132">
        <f>'Box Econs_Standard'!$C$20</f>
        <v>42087173.33</v>
      </c>
      <c r="C19" s="132">
        <f t="shared" ref="C19:Q19" si="17">B19</f>
        <v>42087173.33</v>
      </c>
      <c r="D19" s="132">
        <f t="shared" si="17"/>
        <v>42087173.33</v>
      </c>
      <c r="E19" s="132">
        <f t="shared" si="17"/>
        <v>42087173.33</v>
      </c>
      <c r="F19" s="132">
        <f t="shared" si="17"/>
        <v>42087173.33</v>
      </c>
      <c r="G19" s="132">
        <f t="shared" si="17"/>
        <v>42087173.33</v>
      </c>
      <c r="H19" s="132">
        <f t="shared" si="17"/>
        <v>42087173.33</v>
      </c>
      <c r="I19" s="132">
        <f t="shared" si="17"/>
        <v>42087173.33</v>
      </c>
      <c r="J19" s="132">
        <f t="shared" si="17"/>
        <v>42087173.33</v>
      </c>
      <c r="K19" s="132">
        <f t="shared" si="17"/>
        <v>42087173.33</v>
      </c>
      <c r="L19" s="132">
        <f t="shared" si="17"/>
        <v>42087173.33</v>
      </c>
      <c r="M19" s="132">
        <f t="shared" si="17"/>
        <v>42087173.33</v>
      </c>
      <c r="N19" s="132">
        <f t="shared" si="17"/>
        <v>42087173.33</v>
      </c>
      <c r="O19" s="132">
        <f t="shared" si="17"/>
        <v>42087173.33</v>
      </c>
      <c r="P19" s="132">
        <f t="shared" si="17"/>
        <v>42087173.33</v>
      </c>
      <c r="Q19" s="132">
        <f t="shared" si="17"/>
        <v>42087173.33</v>
      </c>
      <c r="R19" s="132">
        <f>L19</f>
        <v>42087173.33</v>
      </c>
      <c r="S19" s="133">
        <f t="shared" si="11"/>
        <v>505046080</v>
      </c>
    </row>
    <row r="20">
      <c r="A20" s="128" t="s">
        <v>39</v>
      </c>
      <c r="B20" s="135">
        <f t="shared" ref="B20:S20" si="18">B10-SUM(B12:B18)</f>
        <v>-20124350</v>
      </c>
      <c r="C20" s="135">
        <f t="shared" si="18"/>
        <v>2822140</v>
      </c>
      <c r="D20" s="135">
        <f t="shared" si="18"/>
        <v>25768630</v>
      </c>
      <c r="E20" s="135">
        <f t="shared" si="18"/>
        <v>48715120</v>
      </c>
      <c r="F20" s="135">
        <f t="shared" si="18"/>
        <v>71661610</v>
      </c>
      <c r="G20" s="135">
        <f t="shared" si="18"/>
        <v>94608100</v>
      </c>
      <c r="H20" s="135">
        <f t="shared" si="18"/>
        <v>94608100</v>
      </c>
      <c r="I20" s="135">
        <f t="shared" si="18"/>
        <v>94608100</v>
      </c>
      <c r="J20" s="135">
        <f t="shared" si="18"/>
        <v>94608100</v>
      </c>
      <c r="K20" s="135">
        <f t="shared" si="18"/>
        <v>94608100</v>
      </c>
      <c r="L20" s="135">
        <f t="shared" si="18"/>
        <v>94608100</v>
      </c>
      <c r="M20" s="135">
        <f t="shared" si="18"/>
        <v>94608100</v>
      </c>
      <c r="N20" s="135">
        <f t="shared" si="18"/>
        <v>94608100</v>
      </c>
      <c r="O20" s="135">
        <f t="shared" si="18"/>
        <v>94608100</v>
      </c>
      <c r="P20" s="135">
        <f t="shared" si="18"/>
        <v>94608100</v>
      </c>
      <c r="Q20" s="135">
        <f t="shared" si="18"/>
        <v>94608100</v>
      </c>
      <c r="R20" s="135">
        <f t="shared" si="18"/>
        <v>94608100</v>
      </c>
      <c r="S20" s="136">
        <f t="shared" si="18"/>
        <v>1135297200</v>
      </c>
    </row>
    <row r="21" ht="15.75" customHeight="1">
      <c r="A21" s="128"/>
      <c r="B21" s="137"/>
      <c r="S21" s="125"/>
    </row>
    <row r="22" ht="15.75" customHeight="1">
      <c r="A22" s="134" t="s">
        <v>12</v>
      </c>
      <c r="B22" s="138">
        <f>'Box Econs_Standard'!$C$23</f>
        <v>0.31</v>
      </c>
      <c r="C22" s="138">
        <f t="shared" ref="C22:S22" si="19">B22</f>
        <v>0.31</v>
      </c>
      <c r="D22" s="138">
        <f t="shared" si="19"/>
        <v>0.31</v>
      </c>
      <c r="E22" s="138">
        <f t="shared" si="19"/>
        <v>0.31</v>
      </c>
      <c r="F22" s="138">
        <f t="shared" si="19"/>
        <v>0.31</v>
      </c>
      <c r="G22" s="138">
        <f t="shared" si="19"/>
        <v>0.31</v>
      </c>
      <c r="H22" s="138">
        <f t="shared" si="19"/>
        <v>0.31</v>
      </c>
      <c r="I22" s="138">
        <f t="shared" si="19"/>
        <v>0.31</v>
      </c>
      <c r="J22" s="138">
        <f t="shared" si="19"/>
        <v>0.31</v>
      </c>
      <c r="K22" s="138">
        <f t="shared" si="19"/>
        <v>0.31</v>
      </c>
      <c r="L22" s="138">
        <f t="shared" si="19"/>
        <v>0.31</v>
      </c>
      <c r="M22" s="138">
        <f t="shared" si="19"/>
        <v>0.31</v>
      </c>
      <c r="N22" s="138">
        <f t="shared" si="19"/>
        <v>0.31</v>
      </c>
      <c r="O22" s="138">
        <f t="shared" si="19"/>
        <v>0.31</v>
      </c>
      <c r="P22" s="138">
        <f t="shared" si="19"/>
        <v>0.31</v>
      </c>
      <c r="Q22" s="138">
        <f t="shared" si="19"/>
        <v>0.31</v>
      </c>
      <c r="R22" s="138">
        <f t="shared" si="19"/>
        <v>0.31</v>
      </c>
      <c r="S22" s="139">
        <f t="shared" si="19"/>
        <v>0.31</v>
      </c>
    </row>
    <row r="23" ht="15.75" customHeight="1">
      <c r="A23" s="134" t="s">
        <v>46</v>
      </c>
      <c r="B23" s="138">
        <f t="shared" ref="B23:S23" si="20">1-B22</f>
        <v>0.69</v>
      </c>
      <c r="C23" s="138">
        <f t="shared" si="20"/>
        <v>0.69</v>
      </c>
      <c r="D23" s="138">
        <f t="shared" si="20"/>
        <v>0.69</v>
      </c>
      <c r="E23" s="138">
        <f t="shared" si="20"/>
        <v>0.69</v>
      </c>
      <c r="F23" s="138">
        <f t="shared" si="20"/>
        <v>0.69</v>
      </c>
      <c r="G23" s="138">
        <f t="shared" si="20"/>
        <v>0.69</v>
      </c>
      <c r="H23" s="138">
        <f t="shared" si="20"/>
        <v>0.69</v>
      </c>
      <c r="I23" s="138">
        <f t="shared" si="20"/>
        <v>0.69</v>
      </c>
      <c r="J23" s="138">
        <f t="shared" si="20"/>
        <v>0.69</v>
      </c>
      <c r="K23" s="138">
        <f t="shared" si="20"/>
        <v>0.69</v>
      </c>
      <c r="L23" s="138">
        <f t="shared" si="20"/>
        <v>0.69</v>
      </c>
      <c r="M23" s="138">
        <f t="shared" si="20"/>
        <v>0.69</v>
      </c>
      <c r="N23" s="138">
        <f t="shared" si="20"/>
        <v>0.69</v>
      </c>
      <c r="O23" s="138">
        <f t="shared" si="20"/>
        <v>0.69</v>
      </c>
      <c r="P23" s="138">
        <f t="shared" si="20"/>
        <v>0.69</v>
      </c>
      <c r="Q23" s="138">
        <f t="shared" si="20"/>
        <v>0.69</v>
      </c>
      <c r="R23" s="138">
        <f t="shared" si="20"/>
        <v>0.69</v>
      </c>
      <c r="S23" s="139">
        <f t="shared" si="20"/>
        <v>0.69</v>
      </c>
    </row>
    <row r="24" ht="15.75" customHeight="1">
      <c r="A24" s="134" t="s">
        <v>19</v>
      </c>
      <c r="B24" s="138">
        <f t="shared" ref="B24:S24" si="21">B12/B8</f>
        <v>0.2782124848</v>
      </c>
      <c r="C24" s="138">
        <f t="shared" si="21"/>
        <v>0.2318437373</v>
      </c>
      <c r="D24" s="138">
        <f t="shared" si="21"/>
        <v>0.1987232034</v>
      </c>
      <c r="E24" s="138">
        <f t="shared" si="21"/>
        <v>0.173882803</v>
      </c>
      <c r="F24" s="138">
        <f t="shared" si="21"/>
        <v>0.1545624915</v>
      </c>
      <c r="G24" s="138">
        <f t="shared" si="21"/>
        <v>0.1391062424</v>
      </c>
      <c r="H24" s="138">
        <f t="shared" si="21"/>
        <v>0.1391062424</v>
      </c>
      <c r="I24" s="138">
        <f t="shared" si="21"/>
        <v>0.1391062424</v>
      </c>
      <c r="J24" s="138">
        <f t="shared" si="21"/>
        <v>0.1391062424</v>
      </c>
      <c r="K24" s="138">
        <f t="shared" si="21"/>
        <v>0.1391062424</v>
      </c>
      <c r="L24" s="138">
        <f t="shared" si="21"/>
        <v>0.1391062424</v>
      </c>
      <c r="M24" s="138">
        <f t="shared" si="21"/>
        <v>0.1391062424</v>
      </c>
      <c r="N24" s="138">
        <f t="shared" si="21"/>
        <v>0.1391062424</v>
      </c>
      <c r="O24" s="138">
        <f t="shared" si="21"/>
        <v>0.1391062424</v>
      </c>
      <c r="P24" s="138">
        <f t="shared" si="21"/>
        <v>0.1391062424</v>
      </c>
      <c r="Q24" s="138">
        <f t="shared" si="21"/>
        <v>0.1391062424</v>
      </c>
      <c r="R24" s="138">
        <f t="shared" si="21"/>
        <v>0.1391062424</v>
      </c>
      <c r="S24" s="139">
        <f t="shared" si="21"/>
        <v>0.1391062424</v>
      </c>
    </row>
    <row r="25" ht="15.75" customHeight="1">
      <c r="A25" s="134" t="s">
        <v>15</v>
      </c>
      <c r="B25" s="138">
        <f t="shared" ref="B25:S25" si="22">B13/B8</f>
        <v>0.3917668977</v>
      </c>
      <c r="C25" s="138">
        <f t="shared" si="22"/>
        <v>0.3264724147</v>
      </c>
      <c r="D25" s="138">
        <f t="shared" si="22"/>
        <v>0.2798334983</v>
      </c>
      <c r="E25" s="138">
        <f t="shared" si="22"/>
        <v>0.2448543111</v>
      </c>
      <c r="F25" s="138">
        <f t="shared" si="22"/>
        <v>0.2176482765</v>
      </c>
      <c r="G25" s="138">
        <f t="shared" si="22"/>
        <v>0.1958834488</v>
      </c>
      <c r="H25" s="138">
        <f t="shared" si="22"/>
        <v>0.1958834488</v>
      </c>
      <c r="I25" s="138">
        <f t="shared" si="22"/>
        <v>0.1958834488</v>
      </c>
      <c r="J25" s="138">
        <f t="shared" si="22"/>
        <v>0.1958834488</v>
      </c>
      <c r="K25" s="138">
        <f t="shared" si="22"/>
        <v>0.1958834488</v>
      </c>
      <c r="L25" s="138">
        <f t="shared" si="22"/>
        <v>0.1958834488</v>
      </c>
      <c r="M25" s="138">
        <f t="shared" si="22"/>
        <v>0.1958834488</v>
      </c>
      <c r="N25" s="138">
        <f t="shared" si="22"/>
        <v>0.1958834488</v>
      </c>
      <c r="O25" s="138">
        <f t="shared" si="22"/>
        <v>0.1958834488</v>
      </c>
      <c r="P25" s="138">
        <f t="shared" si="22"/>
        <v>0.1958834488</v>
      </c>
      <c r="Q25" s="138">
        <f t="shared" si="22"/>
        <v>0.1958834488</v>
      </c>
      <c r="R25" s="138">
        <f t="shared" si="22"/>
        <v>0.1958834488</v>
      </c>
      <c r="S25" s="139">
        <f t="shared" si="22"/>
        <v>0.1958834488</v>
      </c>
    </row>
    <row r="26" ht="15.75" customHeight="1">
      <c r="A26" s="134" t="s">
        <v>50</v>
      </c>
      <c r="B26" s="140">
        <f>'Box Econs_Standard'!C27</f>
        <v>0.06</v>
      </c>
      <c r="C26" s="140">
        <f t="shared" ref="C26:R26" si="23">B26</f>
        <v>0.06</v>
      </c>
      <c r="D26" s="140">
        <f t="shared" si="23"/>
        <v>0.06</v>
      </c>
      <c r="E26" s="140">
        <f t="shared" si="23"/>
        <v>0.06</v>
      </c>
      <c r="F26" s="140">
        <f t="shared" si="23"/>
        <v>0.06</v>
      </c>
      <c r="G26" s="140">
        <f t="shared" si="23"/>
        <v>0.06</v>
      </c>
      <c r="H26" s="140">
        <f t="shared" si="23"/>
        <v>0.06</v>
      </c>
      <c r="I26" s="140">
        <f t="shared" si="23"/>
        <v>0.06</v>
      </c>
      <c r="J26" s="140">
        <f t="shared" si="23"/>
        <v>0.06</v>
      </c>
      <c r="K26" s="140">
        <f t="shared" si="23"/>
        <v>0.06</v>
      </c>
      <c r="L26" s="140">
        <f t="shared" si="23"/>
        <v>0.06</v>
      </c>
      <c r="M26" s="140">
        <f t="shared" si="23"/>
        <v>0.06</v>
      </c>
      <c r="N26" s="140">
        <f t="shared" si="23"/>
        <v>0.06</v>
      </c>
      <c r="O26" s="140">
        <f t="shared" si="23"/>
        <v>0.06</v>
      </c>
      <c r="P26" s="140">
        <f t="shared" si="23"/>
        <v>0.06</v>
      </c>
      <c r="Q26" s="140">
        <f t="shared" si="23"/>
        <v>0.06</v>
      </c>
      <c r="R26" s="140">
        <f t="shared" si="23"/>
        <v>0.06</v>
      </c>
      <c r="S26" s="141">
        <f t="shared" ref="S26:S30" si="25">S14/$S$8</f>
        <v>0.06</v>
      </c>
    </row>
    <row r="27" ht="15.75" customHeight="1">
      <c r="A27" s="134" t="s">
        <v>52</v>
      </c>
      <c r="B27" s="140">
        <f>'Box Econs_Standard'!C28</f>
        <v>0.01</v>
      </c>
      <c r="C27" s="140">
        <f t="shared" ref="C27:R27" si="24">B27</f>
        <v>0.01</v>
      </c>
      <c r="D27" s="140">
        <f t="shared" si="24"/>
        <v>0.01</v>
      </c>
      <c r="E27" s="140">
        <f t="shared" si="24"/>
        <v>0.01</v>
      </c>
      <c r="F27" s="140">
        <f t="shared" si="24"/>
        <v>0.01</v>
      </c>
      <c r="G27" s="140">
        <f t="shared" si="24"/>
        <v>0.01</v>
      </c>
      <c r="H27" s="140">
        <f t="shared" si="24"/>
        <v>0.01</v>
      </c>
      <c r="I27" s="140">
        <f t="shared" si="24"/>
        <v>0.01</v>
      </c>
      <c r="J27" s="140">
        <f t="shared" si="24"/>
        <v>0.01</v>
      </c>
      <c r="K27" s="140">
        <f t="shared" si="24"/>
        <v>0.01</v>
      </c>
      <c r="L27" s="140">
        <f t="shared" si="24"/>
        <v>0.01</v>
      </c>
      <c r="M27" s="140">
        <f t="shared" si="24"/>
        <v>0.01</v>
      </c>
      <c r="N27" s="140">
        <f t="shared" si="24"/>
        <v>0.01</v>
      </c>
      <c r="O27" s="140">
        <f t="shared" si="24"/>
        <v>0.01</v>
      </c>
      <c r="P27" s="140">
        <f t="shared" si="24"/>
        <v>0.01</v>
      </c>
      <c r="Q27" s="140">
        <f t="shared" si="24"/>
        <v>0.01</v>
      </c>
      <c r="R27" s="140">
        <f t="shared" si="24"/>
        <v>0.01</v>
      </c>
      <c r="S27" s="141">
        <f t="shared" si="25"/>
        <v>0.01</v>
      </c>
    </row>
    <row r="28" ht="15.75" customHeight="1">
      <c r="A28" s="134" t="s">
        <v>28</v>
      </c>
      <c r="B28" s="140">
        <f>'Box Econs_Standard'!C29</f>
        <v>0.03</v>
      </c>
      <c r="C28" s="140">
        <f t="shared" ref="C28:R28" si="26">B28</f>
        <v>0.03</v>
      </c>
      <c r="D28" s="140">
        <f t="shared" si="26"/>
        <v>0.03</v>
      </c>
      <c r="E28" s="140">
        <f t="shared" si="26"/>
        <v>0.03</v>
      </c>
      <c r="F28" s="140">
        <f t="shared" si="26"/>
        <v>0.03</v>
      </c>
      <c r="G28" s="140">
        <f t="shared" si="26"/>
        <v>0.03</v>
      </c>
      <c r="H28" s="140">
        <f t="shared" si="26"/>
        <v>0.03</v>
      </c>
      <c r="I28" s="140">
        <f t="shared" si="26"/>
        <v>0.03</v>
      </c>
      <c r="J28" s="140">
        <f t="shared" si="26"/>
        <v>0.03</v>
      </c>
      <c r="K28" s="140">
        <f t="shared" si="26"/>
        <v>0.03</v>
      </c>
      <c r="L28" s="140">
        <f t="shared" si="26"/>
        <v>0.03</v>
      </c>
      <c r="M28" s="140">
        <f t="shared" si="26"/>
        <v>0.03</v>
      </c>
      <c r="N28" s="140">
        <f t="shared" si="26"/>
        <v>0.03</v>
      </c>
      <c r="O28" s="140">
        <f t="shared" si="26"/>
        <v>0.03</v>
      </c>
      <c r="P28" s="140">
        <f t="shared" si="26"/>
        <v>0.03</v>
      </c>
      <c r="Q28" s="140">
        <f t="shared" si="26"/>
        <v>0.03</v>
      </c>
      <c r="R28" s="140">
        <f t="shared" si="26"/>
        <v>0.03</v>
      </c>
      <c r="S28" s="141">
        <f t="shared" si="25"/>
        <v>0.03</v>
      </c>
    </row>
    <row r="29" ht="15.75" customHeight="1">
      <c r="A29" s="134" t="s">
        <v>33</v>
      </c>
      <c r="B29" s="140">
        <f>'Box Econs_Standard'!C30</f>
        <v>0.01</v>
      </c>
      <c r="C29" s="140">
        <f t="shared" ref="C29:R29" si="27">B29</f>
        <v>0.01</v>
      </c>
      <c r="D29" s="140">
        <f t="shared" si="27"/>
        <v>0.01</v>
      </c>
      <c r="E29" s="140">
        <f t="shared" si="27"/>
        <v>0.01</v>
      </c>
      <c r="F29" s="140">
        <f t="shared" si="27"/>
        <v>0.01</v>
      </c>
      <c r="G29" s="140">
        <f t="shared" si="27"/>
        <v>0.01</v>
      </c>
      <c r="H29" s="140">
        <f t="shared" si="27"/>
        <v>0.01</v>
      </c>
      <c r="I29" s="140">
        <f t="shared" si="27"/>
        <v>0.01</v>
      </c>
      <c r="J29" s="140">
        <f t="shared" si="27"/>
        <v>0.01</v>
      </c>
      <c r="K29" s="140">
        <f t="shared" si="27"/>
        <v>0.01</v>
      </c>
      <c r="L29" s="140">
        <f t="shared" si="27"/>
        <v>0.01</v>
      </c>
      <c r="M29" s="140">
        <f t="shared" si="27"/>
        <v>0.01</v>
      </c>
      <c r="N29" s="140">
        <f t="shared" si="27"/>
        <v>0.01</v>
      </c>
      <c r="O29" s="140">
        <f t="shared" si="27"/>
        <v>0.01</v>
      </c>
      <c r="P29" s="140">
        <f t="shared" si="27"/>
        <v>0.01</v>
      </c>
      <c r="Q29" s="140">
        <f t="shared" si="27"/>
        <v>0.01</v>
      </c>
      <c r="R29" s="140">
        <f t="shared" si="27"/>
        <v>0.01</v>
      </c>
      <c r="S29" s="141">
        <f t="shared" si="25"/>
        <v>0.01</v>
      </c>
    </row>
    <row r="30" ht="15.75" customHeight="1">
      <c r="A30" s="134" t="s">
        <v>35</v>
      </c>
      <c r="B30" s="140">
        <f>'Box Econs_Standard'!C31</f>
        <v>0.01</v>
      </c>
      <c r="C30" s="140">
        <f t="shared" ref="C30:R30" si="28">B30</f>
        <v>0.01</v>
      </c>
      <c r="D30" s="140">
        <f t="shared" si="28"/>
        <v>0.01</v>
      </c>
      <c r="E30" s="140">
        <f t="shared" si="28"/>
        <v>0.01</v>
      </c>
      <c r="F30" s="140">
        <f t="shared" si="28"/>
        <v>0.01</v>
      </c>
      <c r="G30" s="140">
        <f t="shared" si="28"/>
        <v>0.01</v>
      </c>
      <c r="H30" s="140">
        <f t="shared" si="28"/>
        <v>0.01</v>
      </c>
      <c r="I30" s="140">
        <f t="shared" si="28"/>
        <v>0.01</v>
      </c>
      <c r="J30" s="140">
        <f t="shared" si="28"/>
        <v>0.01</v>
      </c>
      <c r="K30" s="140">
        <f t="shared" si="28"/>
        <v>0.01</v>
      </c>
      <c r="L30" s="140">
        <f t="shared" si="28"/>
        <v>0.01</v>
      </c>
      <c r="M30" s="140">
        <f t="shared" si="28"/>
        <v>0.01</v>
      </c>
      <c r="N30" s="140">
        <f t="shared" si="28"/>
        <v>0.01</v>
      </c>
      <c r="O30" s="140">
        <f t="shared" si="28"/>
        <v>0.01</v>
      </c>
      <c r="P30" s="140">
        <f t="shared" si="28"/>
        <v>0.01</v>
      </c>
      <c r="Q30" s="140">
        <f t="shared" si="28"/>
        <v>0.01</v>
      </c>
      <c r="R30" s="140">
        <f t="shared" si="28"/>
        <v>0.01</v>
      </c>
      <c r="S30" s="141">
        <f t="shared" si="25"/>
        <v>0.01</v>
      </c>
    </row>
    <row r="31" ht="15.75" customHeight="1">
      <c r="A31" s="134" t="s">
        <v>37</v>
      </c>
      <c r="B31" s="138">
        <f t="shared" ref="B31:S31" si="29">B19/B8</f>
        <v>0.2090924477</v>
      </c>
      <c r="C31" s="138">
        <f t="shared" si="29"/>
        <v>0.1742437064</v>
      </c>
      <c r="D31" s="138">
        <f t="shared" si="29"/>
        <v>0.1493517484</v>
      </c>
      <c r="E31" s="138">
        <f t="shared" si="29"/>
        <v>0.1306827798</v>
      </c>
      <c r="F31" s="138">
        <f t="shared" si="29"/>
        <v>0.1161624709</v>
      </c>
      <c r="G31" s="138">
        <f t="shared" si="29"/>
        <v>0.1045462238</v>
      </c>
      <c r="H31" s="138">
        <f t="shared" si="29"/>
        <v>0.1045462238</v>
      </c>
      <c r="I31" s="138">
        <f t="shared" si="29"/>
        <v>0.1045462238</v>
      </c>
      <c r="J31" s="138">
        <f t="shared" si="29"/>
        <v>0.1045462238</v>
      </c>
      <c r="K31" s="138">
        <f t="shared" si="29"/>
        <v>0.1045462238</v>
      </c>
      <c r="L31" s="138">
        <f t="shared" si="29"/>
        <v>0.1045462238</v>
      </c>
      <c r="M31" s="138">
        <f t="shared" si="29"/>
        <v>0.1045462238</v>
      </c>
      <c r="N31" s="138">
        <f t="shared" si="29"/>
        <v>0.1045462238</v>
      </c>
      <c r="O31" s="138">
        <f t="shared" si="29"/>
        <v>0.1045462238</v>
      </c>
      <c r="P31" s="138">
        <f t="shared" si="29"/>
        <v>0.1045462238</v>
      </c>
      <c r="Q31" s="138">
        <f t="shared" si="29"/>
        <v>0.1045462238</v>
      </c>
      <c r="R31" s="138">
        <f t="shared" si="29"/>
        <v>0.1045462238</v>
      </c>
      <c r="S31" s="139">
        <f t="shared" si="29"/>
        <v>0.1045462238</v>
      </c>
    </row>
    <row r="32" ht="15.75" customHeight="1">
      <c r="A32" s="142" t="s">
        <v>39</v>
      </c>
      <c r="B32" s="143">
        <f t="shared" ref="B32:S32" si="30">B20/B8</f>
        <v>-0.09997938247</v>
      </c>
      <c r="C32" s="143">
        <f t="shared" si="30"/>
        <v>0.01168384794</v>
      </c>
      <c r="D32" s="143">
        <f t="shared" si="30"/>
        <v>0.09144329824</v>
      </c>
      <c r="E32" s="143">
        <f t="shared" si="30"/>
        <v>0.151262886</v>
      </c>
      <c r="F32" s="143">
        <f t="shared" si="30"/>
        <v>0.197789232</v>
      </c>
      <c r="G32" s="143">
        <f t="shared" si="30"/>
        <v>0.2350103088</v>
      </c>
      <c r="H32" s="143">
        <f t="shared" si="30"/>
        <v>0.2350103088</v>
      </c>
      <c r="I32" s="143">
        <f t="shared" si="30"/>
        <v>0.2350103088</v>
      </c>
      <c r="J32" s="143">
        <f t="shared" si="30"/>
        <v>0.2350103088</v>
      </c>
      <c r="K32" s="143">
        <f t="shared" si="30"/>
        <v>0.2350103088</v>
      </c>
      <c r="L32" s="143">
        <f t="shared" si="30"/>
        <v>0.2350103088</v>
      </c>
      <c r="M32" s="143">
        <f t="shared" si="30"/>
        <v>0.2350103088</v>
      </c>
      <c r="N32" s="143">
        <f t="shared" si="30"/>
        <v>0.2350103088</v>
      </c>
      <c r="O32" s="143">
        <f t="shared" si="30"/>
        <v>0.2350103088</v>
      </c>
      <c r="P32" s="143">
        <f t="shared" si="30"/>
        <v>0.2350103088</v>
      </c>
      <c r="Q32" s="143">
        <f t="shared" si="30"/>
        <v>0.2350103088</v>
      </c>
      <c r="R32" s="143">
        <f t="shared" si="30"/>
        <v>0.2350103088</v>
      </c>
      <c r="S32" s="144">
        <f t="shared" si="30"/>
        <v>0.2350103088</v>
      </c>
    </row>
    <row r="33" ht="15.75" customHeight="1">
      <c r="A33" s="145" t="s">
        <v>60</v>
      </c>
      <c r="B33" s="146">
        <f t="shared" ref="B33:S33" si="31">SUM(B32-B31)</f>
        <v>-0.3090718302</v>
      </c>
      <c r="C33" s="146">
        <f t="shared" si="31"/>
        <v>-0.1625598585</v>
      </c>
      <c r="D33" s="146">
        <f t="shared" si="31"/>
        <v>-0.05790845011</v>
      </c>
      <c r="E33" s="146">
        <f t="shared" si="31"/>
        <v>0.02058010615</v>
      </c>
      <c r="F33" s="146">
        <f t="shared" si="31"/>
        <v>0.08162676102</v>
      </c>
      <c r="G33" s="146">
        <f t="shared" si="31"/>
        <v>0.1304640849</v>
      </c>
      <c r="H33" s="146">
        <f t="shared" si="31"/>
        <v>0.1304640849</v>
      </c>
      <c r="I33" s="146">
        <f t="shared" si="31"/>
        <v>0.1304640849</v>
      </c>
      <c r="J33" s="146">
        <f t="shared" si="31"/>
        <v>0.1304640849</v>
      </c>
      <c r="K33" s="146">
        <f t="shared" si="31"/>
        <v>0.1304640849</v>
      </c>
      <c r="L33" s="146">
        <f t="shared" si="31"/>
        <v>0.1304640849</v>
      </c>
      <c r="M33" s="146">
        <f t="shared" si="31"/>
        <v>0.1304640849</v>
      </c>
      <c r="N33" s="146">
        <f t="shared" si="31"/>
        <v>0.1304640849</v>
      </c>
      <c r="O33" s="146">
        <f t="shared" si="31"/>
        <v>0.1304640849</v>
      </c>
      <c r="P33" s="146">
        <f t="shared" si="31"/>
        <v>0.1304640849</v>
      </c>
      <c r="Q33" s="146">
        <f t="shared" si="31"/>
        <v>0.1304640849</v>
      </c>
      <c r="R33" s="146">
        <f t="shared" si="31"/>
        <v>0.1304640849</v>
      </c>
      <c r="S33" s="147">
        <f t="shared" si="31"/>
        <v>0.1304640849</v>
      </c>
    </row>
    <row r="34" ht="15.75" customHeight="1"/>
    <row r="35" ht="15.75" customHeight="1"/>
    <row r="36" ht="15.75" customHeight="1">
      <c r="B36" s="124">
        <v>0.5</v>
      </c>
      <c r="C36" s="124">
        <v>0.6</v>
      </c>
      <c r="D36" s="124">
        <v>0.7</v>
      </c>
      <c r="E36" s="124">
        <v>0.8</v>
      </c>
      <c r="F36" s="124">
        <v>0.9</v>
      </c>
      <c r="G36" s="124">
        <v>1.0</v>
      </c>
      <c r="H36" s="124">
        <v>1.0</v>
      </c>
      <c r="I36" s="124">
        <f t="shared" ref="I36:Q36" si="32">H36</f>
        <v>1</v>
      </c>
      <c r="J36" s="124">
        <f t="shared" si="32"/>
        <v>1</v>
      </c>
      <c r="K36" s="124">
        <f t="shared" si="32"/>
        <v>1</v>
      </c>
      <c r="L36" s="124">
        <f t="shared" si="32"/>
        <v>1</v>
      </c>
      <c r="M36" s="124">
        <f t="shared" si="32"/>
        <v>1</v>
      </c>
      <c r="N36" s="124">
        <f t="shared" si="32"/>
        <v>1</v>
      </c>
      <c r="O36" s="124">
        <f t="shared" si="32"/>
        <v>1</v>
      </c>
      <c r="P36" s="124">
        <f t="shared" si="32"/>
        <v>1</v>
      </c>
      <c r="Q36" s="124">
        <f t="shared" si="32"/>
        <v>1</v>
      </c>
      <c r="R36" s="124">
        <f>L36</f>
        <v>1</v>
      </c>
      <c r="S36" s="12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